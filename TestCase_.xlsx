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새 폴더\이력서\이력서\2026\"/>
    </mc:Choice>
  </mc:AlternateContent>
  <xr:revisionPtr revIDLastSave="0" documentId="13_ncr:1_{0BB49A7F-23F1-4C2F-8308-E7EA5D8E1255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App_AOS_TestCase" sheetId="13" r:id="rId1"/>
    <sheet name="App_iOS_TestCase" sheetId="14" r:id="rId2"/>
    <sheet name="히스토리" sheetId="1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0" i="14" l="1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L9" i="14" s="1"/>
  <c r="L8" i="14" s="1"/>
  <c r="B15" i="14"/>
  <c r="B14" i="14"/>
  <c r="B13" i="14"/>
  <c r="B12" i="14"/>
  <c r="L7" i="14"/>
  <c r="L6" i="14"/>
  <c r="L5" i="14"/>
  <c r="L8" i="13"/>
  <c r="L9" i="13"/>
  <c r="L7" i="13" l="1"/>
  <c r="L6" i="13"/>
  <c r="L5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12" i="13"/>
  <c r="B220" i="13" l="1"/>
</calcChain>
</file>

<file path=xl/sharedStrings.xml><?xml version="1.0" encoding="utf-8"?>
<sst xmlns="http://schemas.openxmlformats.org/spreadsheetml/2006/main" count="870" uniqueCount="363">
  <si>
    <t>Pass</t>
  </si>
  <si>
    <t>Fail</t>
  </si>
  <si>
    <t>TID</t>
  </si>
  <si>
    <t>코멘트</t>
  </si>
  <si>
    <t>로그아웃 상태</t>
  </si>
  <si>
    <t>로그인 완료</t>
  </si>
  <si>
    <t>예외</t>
  </si>
  <si>
    <t>상태</t>
  </si>
  <si>
    <t>로그인 상태</t>
  </si>
  <si>
    <t>UI</t>
  </si>
  <si>
    <t>상품 카드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</si>
  <si>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개별 상품 카드 확인</t>
    </r>
  </si>
  <si>
    <t>정렬</t>
  </si>
  <si>
    <t>상품 정보</t>
  </si>
  <si>
    <t>수량 영역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</si>
  <si>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수량 영역 확인</t>
    </r>
  </si>
  <si>
    <t>증가</t>
  </si>
  <si>
    <r>
      <rPr>
        <sz val="9"/>
        <rFont val="Noto Sans CJK SC"/>
        <family val="2"/>
      </rPr>
      <t xml:space="preserve">수량 </t>
    </r>
    <r>
      <rPr>
        <sz val="9"/>
        <rFont val="맑은 고딕"/>
        <family val="3"/>
        <charset val="129"/>
      </rPr>
      <t>1</t>
    </r>
  </si>
  <si>
    <t>감소</t>
  </si>
  <si>
    <r>
      <rPr>
        <sz val="9"/>
        <rFont val="Noto Sans CJK SC"/>
        <family val="2"/>
      </rPr>
      <t xml:space="preserve">수량 </t>
    </r>
    <r>
      <rPr>
        <sz val="9"/>
        <rFont val="맑은 고딕"/>
        <family val="3"/>
        <charset val="129"/>
      </rPr>
      <t>2</t>
    </r>
  </si>
  <si>
    <t>최소값 경계</t>
  </si>
  <si>
    <t>최대값 경계</t>
  </si>
  <si>
    <t>수량 다수</t>
  </si>
  <si>
    <t>담기</t>
  </si>
  <si>
    <t>뒤로가기</t>
  </si>
  <si>
    <t>장바구니</t>
  </si>
  <si>
    <t>표시</t>
  </si>
  <si>
    <t>담은 상품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</si>
  <si>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개 담음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</si>
  <si>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카트 진입</t>
    </r>
  </si>
  <si>
    <r>
      <rPr>
        <sz val="9"/>
        <rFont val="Noto Sans CJK SC"/>
        <family val="2"/>
      </rPr>
      <t>상세</t>
    </r>
    <r>
      <rPr>
        <sz val="9"/>
        <rFont val="맑은 고딕"/>
        <family val="3"/>
        <charset val="129"/>
      </rPr>
      <t>-</t>
    </r>
    <r>
      <rPr>
        <sz val="9"/>
        <rFont val="Noto Sans CJK SC"/>
        <family val="2"/>
      </rPr>
      <t>카트 일치</t>
    </r>
  </si>
  <si>
    <t>합계 정확성</t>
  </si>
  <si>
    <t>복수 상품</t>
  </si>
  <si>
    <t>수정</t>
  </si>
  <si>
    <t>삭제</t>
  </si>
  <si>
    <t>단일 삭제</t>
  </si>
  <si>
    <t>결제</t>
  </si>
  <si>
    <t>배송지</t>
  </si>
  <si>
    <r>
      <rPr>
        <sz val="9"/>
        <rFont val="맑은 고딕"/>
        <family val="3"/>
        <charset val="129"/>
      </rPr>
      <t xml:space="preserve">Checkout </t>
    </r>
    <r>
      <rPr>
        <sz val="9"/>
        <rFont val="Noto Sans CJK SC"/>
        <family val="2"/>
      </rPr>
      <t>진입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</si>
  <si>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배송지 화면 확인</t>
    </r>
  </si>
  <si>
    <t>배송지 화면</t>
  </si>
  <si>
    <t>정상 입력 후 진행</t>
  </si>
  <si>
    <t>필수값 일부 누락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</si>
  <si>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이름만 입력 후 진행</t>
    </r>
  </si>
  <si>
    <t>결제수단</t>
  </si>
  <si>
    <t>카드정보 미입력</t>
  </si>
  <si>
    <t>결제수단 화면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</si>
  <si>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카드정보 없이 </t>
    </r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시도</t>
    </r>
  </si>
  <si>
    <t>카드번호 형식 오류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</si>
  <si>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자리수 부족 카드번호 입력</t>
    </r>
  </si>
  <si>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화면</t>
    </r>
  </si>
  <si>
    <t>주문 완료 직후</t>
  </si>
  <si>
    <t>로그아웃</t>
  </si>
  <si>
    <t>동작</t>
  </si>
  <si>
    <t>화면 전환</t>
  </si>
  <si>
    <t>로그아웃 직후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</si>
  <si>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전환 화면 확인</t>
    </r>
  </si>
  <si>
    <t>재로그인</t>
  </si>
  <si>
    <t>상품 목록</t>
  </si>
  <si>
    <t>문서 히스토리</t>
  </si>
  <si>
    <t>버전</t>
  </si>
  <si>
    <t>변경 내용</t>
  </si>
  <si>
    <t>작성자</t>
  </si>
  <si>
    <t>날짜</t>
  </si>
  <si>
    <t>v0.1</t>
  </si>
  <si>
    <t>1 Depth</t>
    <phoneticPr fontId="10" type="noConversion"/>
  </si>
  <si>
    <t>2 Depth</t>
    <phoneticPr fontId="10" type="noConversion"/>
  </si>
  <si>
    <t>3 Depth</t>
    <phoneticPr fontId="10" type="noConversion"/>
  </si>
  <si>
    <t>Pre Condition</t>
    <phoneticPr fontId="10" type="noConversion"/>
  </si>
  <si>
    <t>Test Step</t>
    <phoneticPr fontId="10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</si>
  <si>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결과</t>
    </r>
    <phoneticPr fontId="10" type="noConversion"/>
  </si>
  <si>
    <r>
      <rPr>
        <b/>
        <sz val="9"/>
        <rFont val="맑은 고딕"/>
        <family val="2"/>
        <charset val="129"/>
      </rPr>
      <t>이슈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번호</t>
    </r>
    <phoneticPr fontId="10" type="noConversion"/>
  </si>
  <si>
    <t>담당자</t>
    <phoneticPr fontId="10" type="noConversion"/>
  </si>
  <si>
    <r>
      <rPr>
        <b/>
        <sz val="9"/>
        <rFont val="맑은 고딕"/>
        <family val="3"/>
        <charset val="129"/>
      </rPr>
      <t>확인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날짜</t>
    </r>
    <phoneticPr fontId="10" type="noConversion"/>
  </si>
  <si>
    <t>FUNCTION</t>
    <phoneticPr fontId="10" type="noConversion"/>
  </si>
  <si>
    <t>EXPECTED RESULTS</t>
    <phoneticPr fontId="10" type="noConversion"/>
  </si>
  <si>
    <t>Pass</t>
    <phoneticPr fontId="10" type="noConversion"/>
  </si>
  <si>
    <t>N/A</t>
  </si>
  <si>
    <t>1. 앱 실행</t>
    <phoneticPr fontId="10" type="noConversion"/>
  </si>
  <si>
    <r>
      <rPr>
        <sz val="9"/>
        <rFont val="맑은 고딕"/>
        <family val="3"/>
        <charset val="129"/>
      </rPr>
      <t>앱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실행</t>
    </r>
    <phoneticPr fontId="10" type="noConversion"/>
  </si>
  <si>
    <t>정상적으로 진입되는지 확인</t>
    <phoneticPr fontId="10" type="noConversion"/>
  </si>
  <si>
    <t>Title : Products</t>
  </si>
  <si>
    <t>Title : Products</t>
    <phoneticPr fontId="10" type="noConversion"/>
  </si>
  <si>
    <t>상단 + 설명바 영역 제외 스크롤 가능한지 확인</t>
  </si>
  <si>
    <t>상단 + 설명바 영역 제외 스크롤 가능한지 확인</t>
    <phoneticPr fontId="10" type="noConversion"/>
  </si>
  <si>
    <t>1. 상품 영역 확인</t>
    <phoneticPr fontId="10" type="noConversion"/>
  </si>
  <si>
    <r>
      <t xml:space="preserve">메뉴 버튼 : ≡ 
Title : MYDEMOAPP
정렬 버튼 : ↑A
장바구니 버튼 : </t>
    </r>
    <r>
      <rPr>
        <sz val="9"/>
        <rFont val="Segoe UI Symbol"/>
        <family val="3"/>
      </rPr>
      <t>🛒</t>
    </r>
    <phoneticPr fontId="10" type="noConversion"/>
  </si>
  <si>
    <r>
      <t>앱</t>
    </r>
    <r>
      <rPr>
        <sz val="9"/>
        <rFont val="Noto Sans CJK SC"/>
        <family val="2"/>
      </rPr>
      <t xml:space="preserve"> </t>
    </r>
    <r>
      <rPr>
        <sz val="9"/>
        <rFont val="돋움"/>
        <family val="3"/>
        <charset val="129"/>
      </rPr>
      <t>실행</t>
    </r>
  </si>
  <si>
    <t>Catalog / WebView / QR Code Scanner / Geo Location / Drawing / About / Reset App State / FingerPrint / Virtual USB / Crash app (debug) / Log In 노출되는지 확인</t>
    <phoneticPr fontId="10" type="noConversion"/>
  </si>
  <si>
    <t>메뉴</t>
    <phoneticPr fontId="10" type="noConversion"/>
  </si>
  <si>
    <t>목록</t>
    <phoneticPr fontId="10" type="noConversion"/>
  </si>
  <si>
    <t>앱 실행</t>
    <phoneticPr fontId="10" type="noConversion"/>
  </si>
  <si>
    <r>
      <t>로그인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상세페이지로</t>
    </r>
    <r>
      <rPr>
        <sz val="9"/>
        <rFont val="맑은 고딕"/>
        <family val="3"/>
        <charset val="129"/>
      </rPr>
      <t xml:space="preserve"> 이동되는지 확인</t>
    </r>
    <phoneticPr fontId="10" type="noConversion"/>
  </si>
  <si>
    <t>상세페이지</t>
    <phoneticPr fontId="10" type="noConversion"/>
  </si>
  <si>
    <t>로그인 상세페이지 진입</t>
    <phoneticPr fontId="10" type="noConversion"/>
  </si>
  <si>
    <t>Title : Login
설명 영역 확인</t>
    <phoneticPr fontId="10" type="noConversion"/>
  </si>
  <si>
    <t>1. 로그인 영역 확인</t>
    <phoneticPr fontId="10" type="noConversion"/>
  </si>
  <si>
    <t>1. 로그인 영역 확인
2. 로그인 입력 필드 확인</t>
    <phoneticPr fontId="10" type="noConversion"/>
  </si>
  <si>
    <t>입력 필드</t>
    <phoneticPr fontId="10" type="noConversion"/>
  </si>
  <si>
    <t>로그인 성공 및 상품 목록 화면 진입 확인</t>
    <phoneticPr fontId="10" type="noConversion"/>
  </si>
  <si>
    <t>Username 입력 필드 클릭 시 키도브 노출되고 입력되는지 확인</t>
    <phoneticPr fontId="10" type="noConversion"/>
  </si>
  <si>
    <t>Password 입력 필드 클릭 시 키도브 노출되고 입력되는지 확인</t>
    <phoneticPr fontId="10" type="noConversion"/>
  </si>
  <si>
    <t>Login 버튼 노출되는지 확인</t>
    <phoneticPr fontId="10" type="noConversion"/>
  </si>
  <si>
    <t>Username / Password 영역 노출되는지 확인</t>
    <phoneticPr fontId="10" type="noConversion"/>
  </si>
  <si>
    <t>Username / Password 입력 필드 노출되는지 확인</t>
    <phoneticPr fontId="10" type="noConversion"/>
  </si>
  <si>
    <r>
      <t>Log In' 메뉴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항목이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'Log Out'으로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노출되는지 확인</t>
    </r>
    <phoneticPr fontId="10" type="noConversion"/>
  </si>
  <si>
    <t>UI</t>
    <phoneticPr fontId="10" type="noConversion"/>
  </si>
  <si>
    <r>
      <t>1. 유효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ID + 틀린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PW 입력
2. Login 버튼 클릭</t>
    </r>
    <phoneticPr fontId="10" type="noConversion"/>
  </si>
  <si>
    <r>
      <t>1. 좌측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메뉴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열기</t>
    </r>
    <phoneticPr fontId="10" type="noConversion"/>
  </si>
  <si>
    <r>
      <t>1. 유효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ID/PW 입력
2. Login 버튼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클릭</t>
    </r>
    <phoneticPr fontId="10" type="noConversion"/>
  </si>
  <si>
    <t>로그인 실패 및 로그인 실패 안내 문구 출력되는지 확인</t>
    <phoneticPr fontId="10" type="noConversion"/>
  </si>
  <si>
    <r>
      <t xml:space="preserve"> Username 필드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하단에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입력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안내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메시지가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출력되는지 확인
- 'Username is required'</t>
    </r>
    <phoneticPr fontId="10" type="noConversion"/>
  </si>
  <si>
    <r>
      <t>Password 필드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하단에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입력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안내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메시지가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출력되는지 확인
- 'Enter Password'</t>
    </r>
    <phoneticPr fontId="10" type="noConversion"/>
  </si>
  <si>
    <t>로그인 실패 및 로그인 실패 안내 문구 출력되는지 확인
- 'Sorry this user has been locked out.'</t>
    <phoneticPr fontId="10" type="noConversion"/>
  </si>
  <si>
    <r>
      <t>1. locked 계정으로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시도
- alice@example.com / 10203040</t>
    </r>
    <phoneticPr fontId="10" type="noConversion"/>
  </si>
  <si>
    <r>
      <t>1. '@' 없는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ID 입력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후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로그인 시도</t>
    </r>
    <phoneticPr fontId="10" type="noConversion"/>
  </si>
  <si>
    <r>
      <t>로그인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상태가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유지되는지 확인</t>
    </r>
    <phoneticPr fontId="10" type="noConversion"/>
  </si>
  <si>
    <t>1. 디바이스 홈 진입
2. 앱 재진입</t>
    <phoneticPr fontId="10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</si>
  <si>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상세페이지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진입</t>
    </r>
    <phoneticPr fontId="10" type="noConversion"/>
  </si>
  <si>
    <t>오류</t>
  </si>
  <si>
    <t>앱 재진입</t>
    <phoneticPr fontId="10" type="noConversion"/>
  </si>
  <si>
    <t>로그인 상태</t>
    <phoneticPr fontId="10" type="noConversion"/>
  </si>
  <si>
    <t>로그인</t>
    <phoneticPr fontId="10" type="noConversion"/>
  </si>
  <si>
    <r>
      <rPr>
        <sz val="9"/>
        <rFont val="맑은 고딕"/>
        <family val="3"/>
        <charset val="129"/>
      </rPr>
      <t>홈</t>
    </r>
    <r>
      <rPr>
        <sz val="9"/>
        <rFont val="Noto Sans CJK SC"/>
        <family val="2"/>
      </rPr>
      <t xml:space="preserve"> 화면</t>
    </r>
    <phoneticPr fontId="10" type="noConversion"/>
  </si>
  <si>
    <t>진입</t>
    <phoneticPr fontId="10" type="noConversion"/>
  </si>
  <si>
    <t>로그인 화면</t>
    <phoneticPr fontId="10" type="noConversion"/>
  </si>
  <si>
    <r>
      <t>로그인</t>
    </r>
    <r>
      <rPr>
        <sz val="9"/>
        <rFont val="Noto Sans CJK SC"/>
        <family val="2"/>
      </rPr>
      <t xml:space="preserve"> </t>
    </r>
    <r>
      <rPr>
        <sz val="9"/>
        <rFont val="돋움"/>
        <family val="3"/>
        <charset val="129"/>
      </rPr>
      <t>상세페이지</t>
    </r>
    <r>
      <rPr>
        <sz val="9"/>
        <rFont val="Noto Sans CJK SC"/>
        <family val="2"/>
      </rPr>
      <t xml:space="preserve"> </t>
    </r>
    <r>
      <rPr>
        <sz val="9"/>
        <rFont val="돋움"/>
        <family val="3"/>
        <charset val="129"/>
      </rPr>
      <t>진입</t>
    </r>
  </si>
  <si>
    <t>상품 목록 화면</t>
  </si>
  <si>
    <t>상단</t>
  </si>
  <si>
    <t>상품 목록 진입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</si>
  <si>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상단 영역 확인</t>
    </r>
  </si>
  <si>
    <t>메뉴 버튼 : ≡
Title : MYDEMOAPP
정렬 버튼 : ↑A
장바구니 버튼 : 🛒</t>
  </si>
  <si>
    <t>설명바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</si>
  <si>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상단 확인
</t>
    </r>
    <r>
      <rPr>
        <sz val="9"/>
        <rFont val="맑은 고딕"/>
        <family val="3"/>
        <charset val="129"/>
      </rPr>
      <t xml:space="preserve">2. </t>
    </r>
    <r>
      <rPr>
        <sz val="9"/>
        <rFont val="Noto Sans CJK SC"/>
        <family val="2"/>
      </rPr>
      <t>설명바 확인</t>
    </r>
  </si>
  <si>
    <t>상품 이미지 노출되는지 확인</t>
  </si>
  <si>
    <t>상품명 / 가격 / 별점 노출되는지 확인</t>
  </si>
  <si>
    <t>스크롤</t>
  </si>
  <si>
    <t>목록 스크롤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</si>
  <si>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상품 영역 확인</t>
    </r>
  </si>
  <si>
    <t>정렬 옵션 노출</t>
  </si>
  <si>
    <r>
      <rPr>
        <sz val="9"/>
        <rFont val="맑은 고딕"/>
        <family val="3"/>
        <charset val="129"/>
      </rPr>
      <t xml:space="preserve">Name / Price </t>
    </r>
    <r>
      <rPr>
        <sz val="9"/>
        <rFont val="Noto Sans CJK SC"/>
        <family val="2"/>
      </rPr>
      <t>오름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내림차순 정렬 옵션 노출되는지 확인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</si>
  <si>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정렬 </t>
    </r>
    <r>
      <rPr>
        <sz val="9"/>
        <rFont val="맑은 고딕"/>
        <family val="3"/>
        <charset val="129"/>
      </rPr>
      <t xml:space="preserve">&gt; Price - ascending </t>
    </r>
    <r>
      <rPr>
        <sz val="9"/>
        <rFont val="Noto Sans CJK SC"/>
        <family val="2"/>
      </rPr>
      <t>선택</t>
    </r>
  </si>
  <si>
    <t>가격 오름차순으로 재정렬되는지 확인
- 첫 항목이 최저가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</si>
  <si>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정렬 </t>
    </r>
    <r>
      <rPr>
        <sz val="9"/>
        <rFont val="맑은 고딕"/>
        <family val="3"/>
        <charset val="129"/>
      </rPr>
      <t xml:space="preserve">&gt; Price - descending </t>
    </r>
    <r>
      <rPr>
        <sz val="9"/>
        <rFont val="Noto Sans CJK SC"/>
        <family val="2"/>
      </rPr>
      <t>선택</t>
    </r>
  </si>
  <si>
    <t>가격 내림차순으로 재정렬되는지 확인
- 첫 항목이 최고가</t>
  </si>
  <si>
    <t>이름 기준으로 재정렬되는지 확인</t>
  </si>
  <si>
    <t>스크롤 시에도 정렬 순서가 유지되는지 확인</t>
  </si>
  <si>
    <r>
      <t>1. 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영역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</si>
  <si>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1. 상단 영역 확인</t>
    <phoneticPr fontId="10" type="noConversion"/>
  </si>
  <si>
    <t>1. 상단 영역 확인
2. 설명바 확인</t>
    <phoneticPr fontId="10" type="noConversion"/>
  </si>
  <si>
    <r>
      <rPr>
        <sz val="9"/>
        <rFont val="맑은 고딕"/>
        <family val="3"/>
        <charset val="129"/>
      </rPr>
      <t>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카드가</t>
    </r>
    <r>
      <rPr>
        <sz val="9"/>
        <rFont val="Arial"/>
        <family val="2"/>
      </rPr>
      <t xml:space="preserve"> 2</t>
    </r>
    <r>
      <rPr>
        <sz val="9"/>
        <rFont val="맑은 고딕"/>
        <family val="2"/>
        <charset val="129"/>
      </rPr>
      <t xml:space="preserve">열 </t>
    </r>
    <r>
      <rPr>
        <sz val="9"/>
        <rFont val="맑은 고딕"/>
        <family val="3"/>
        <charset val="129"/>
      </rPr>
      <t>그리드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형태로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출력되는지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</si>
  <si>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1. 상단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 xml:space="preserve">영역 </t>
    </r>
    <r>
      <rPr>
        <sz val="9"/>
        <rFont val="맑은 고딕"/>
        <family val="3"/>
        <charset val="129"/>
      </rPr>
      <t>확인
2. 설명바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</si>
  <si>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상단</t>
    <phoneticPr fontId="10" type="noConversion"/>
  </si>
  <si>
    <r>
      <t>1. 정렬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적용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스크롤</t>
    </r>
    <phoneticPr fontId="10" type="noConversion"/>
  </si>
  <si>
    <r>
      <t>1. 정렬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&gt; Name - ascending 선택</t>
    </r>
    <phoneticPr fontId="10" type="noConversion"/>
  </si>
  <si>
    <r>
      <t>1. 정렬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&gt; Name - descending 선택</t>
    </r>
    <phoneticPr fontId="10" type="noConversion"/>
  </si>
  <si>
    <r>
      <t>1. 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카드</t>
    </r>
    <r>
      <rPr>
        <sz val="9"/>
        <rFont val="Arial"/>
        <family val="2"/>
      </rPr>
      <t xml:space="preserve">  </t>
    </r>
    <r>
      <rPr>
        <sz val="9"/>
        <rFont val="맑은 고딕"/>
        <family val="2"/>
        <charset val="129"/>
      </rPr>
      <t>클릭</t>
    </r>
    <phoneticPr fontId="10" type="noConversion"/>
  </si>
  <si>
    <r>
      <rPr>
        <sz val="9"/>
        <rFont val="맑은 고딕"/>
        <family val="3"/>
        <charset val="129"/>
      </rPr>
      <t>해당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페이지로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이동되는지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</si>
  <si>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카드 선택</t>
    <phoneticPr fontId="10" type="noConversion"/>
  </si>
  <si>
    <r>
      <rPr>
        <sz val="9"/>
        <rFont val="맑은 고딕"/>
        <family val="3"/>
        <charset val="129"/>
      </rPr>
      <t>가격</t>
    </r>
    <r>
      <rPr>
        <sz val="9"/>
        <rFont val="Noto Sans CJK SC"/>
        <family val="2"/>
        <charset val="1"/>
      </rPr>
      <t>순</t>
    </r>
    <phoneticPr fontId="10" type="noConversion"/>
  </si>
  <si>
    <t>이름순</t>
    <phoneticPr fontId="10" type="noConversion"/>
  </si>
  <si>
    <t>스크롤</t>
    <phoneticPr fontId="10" type="noConversion"/>
  </si>
  <si>
    <t>상품 상세</t>
  </si>
  <si>
    <t>상품 상세 화면</t>
  </si>
  <si>
    <t>상품 목록에서 상품 선택</t>
  </si>
  <si>
    <t>선택한 상품의 상세 페이지로 진입되는지 확인</t>
  </si>
  <si>
    <t>상품 상세 진입</t>
  </si>
  <si>
    <r>
      <rPr>
        <sz val="9"/>
        <rFont val="Noto Sans CJK SC"/>
        <family val="2"/>
      </rPr>
      <t xml:space="preserve">메뉴 버튼 </t>
    </r>
    <r>
      <rPr>
        <sz val="9"/>
        <rFont val="맑은 고딕"/>
        <family val="3"/>
        <charset val="129"/>
      </rPr>
      <t xml:space="preserve">: ≡
Title : MYDEMOAPP
</t>
    </r>
    <r>
      <rPr>
        <sz val="9"/>
        <rFont val="Noto Sans CJK SC"/>
        <family val="2"/>
      </rPr>
      <t xml:space="preserve">장바구니 버튼 </t>
    </r>
    <r>
      <rPr>
        <sz val="9"/>
        <rFont val="맑은 고딕"/>
        <family val="3"/>
        <charset val="129"/>
      </rPr>
      <t>: 🛒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</si>
  <si>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상품 정보 영역 확인</t>
    </r>
  </si>
  <si>
    <r>
      <rPr>
        <sz val="9"/>
        <rFont val="Noto Sans CJK SC"/>
        <family val="2"/>
      </rPr>
      <t xml:space="preserve">별점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색상 옵션 노출되는지 확인</t>
    </r>
  </si>
  <si>
    <t>상품 이미지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</si>
  <si>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이미지 영역 확인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</si>
  <si>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이미지 좌우 스와이프</t>
    </r>
  </si>
  <si>
    <t>이미지가 여러 장인 경우 좌우 전환되는지 확인</t>
  </si>
  <si>
    <r>
      <rPr>
        <sz val="9"/>
        <rFont val="Noto Sans CJK SC"/>
        <family val="2"/>
      </rPr>
      <t>현재 수량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 xml:space="preserve">기본 </t>
    </r>
    <r>
      <rPr>
        <sz val="9"/>
        <rFont val="맑은 고딕"/>
        <family val="3"/>
        <charset val="129"/>
      </rPr>
      <t>1)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3"/>
        <charset val="129"/>
      </rPr>
      <t xml:space="preserve">+/- </t>
    </r>
    <r>
      <rPr>
        <sz val="9"/>
        <rFont val="Noto Sans CJK SC"/>
        <family val="2"/>
      </rPr>
      <t>버튼 노출되는지 확인</t>
    </r>
  </si>
  <si>
    <t>담기 버튼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</si>
  <si>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하단 영역 확인</t>
    </r>
  </si>
  <si>
    <r>
      <rPr>
        <sz val="9"/>
        <rFont val="맑은 고딕"/>
        <family val="3"/>
        <charset val="129"/>
      </rPr>
      <t xml:space="preserve">Add to cart </t>
    </r>
    <r>
      <rPr>
        <sz val="9"/>
        <rFont val="Noto Sans CJK SC"/>
        <family val="2"/>
      </rPr>
      <t>버튼 노출되는지 확인</t>
    </r>
  </si>
  <si>
    <t>색상 옵션</t>
  </si>
  <si>
    <t>색상 선택</t>
  </si>
  <si>
    <t>수량 조절</t>
  </si>
  <si>
    <r>
      <rPr>
        <sz val="9"/>
        <rFont val="Noto Sans CJK SC"/>
        <family val="2"/>
      </rPr>
      <t xml:space="preserve">수량이 </t>
    </r>
    <r>
      <rPr>
        <sz val="9"/>
        <rFont val="맑은 고딕"/>
        <family val="3"/>
        <charset val="129"/>
      </rPr>
      <t>1 → 2</t>
    </r>
    <r>
      <rPr>
        <sz val="9"/>
        <rFont val="Noto Sans CJK SC"/>
        <family val="2"/>
      </rPr>
      <t>로 증가하는지 확인</t>
    </r>
  </si>
  <si>
    <r>
      <rPr>
        <sz val="9"/>
        <rFont val="Noto Sans CJK SC"/>
        <family val="2"/>
      </rPr>
      <t xml:space="preserve">수량이 </t>
    </r>
    <r>
      <rPr>
        <sz val="9"/>
        <rFont val="맑은 고딕"/>
        <family val="3"/>
        <charset val="129"/>
      </rPr>
      <t>2 → 1</t>
    </r>
    <r>
      <rPr>
        <sz val="9"/>
        <rFont val="Noto Sans CJK SC"/>
        <family val="2"/>
      </rPr>
      <t>로 감소하는지 확인</t>
    </r>
  </si>
  <si>
    <t>단일 담기</t>
  </si>
  <si>
    <t>수량 반영 담기</t>
  </si>
  <si>
    <r>
      <rPr>
        <sz val="9"/>
        <rFont val="Noto Sans CJK SC"/>
        <family val="2"/>
      </rPr>
      <t xml:space="preserve">수량 </t>
    </r>
    <r>
      <rPr>
        <sz val="9"/>
        <rFont val="맑은 고딕"/>
        <family val="3"/>
        <charset val="129"/>
      </rPr>
      <t xml:space="preserve">3 </t>
    </r>
    <r>
      <rPr>
        <sz val="9"/>
        <rFont val="Noto Sans CJK SC"/>
        <family val="2"/>
      </rPr>
      <t>설정</t>
    </r>
  </si>
  <si>
    <r>
      <rPr>
        <sz val="9"/>
        <rFont val="Noto Sans CJK SC"/>
        <family val="2"/>
      </rPr>
      <t>설정한 수량</t>
    </r>
    <r>
      <rPr>
        <sz val="9"/>
        <rFont val="맑은 고딕"/>
        <family val="3"/>
        <charset val="129"/>
      </rPr>
      <t>(3)</t>
    </r>
    <r>
      <rPr>
        <sz val="9"/>
        <rFont val="Noto Sans CJK SC"/>
        <family val="2"/>
      </rPr>
      <t>이 장바구니에 그대로 반영되는지 확인</t>
    </r>
  </si>
  <si>
    <t>상품 담은 후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</si>
  <si>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카트 진입
</t>
    </r>
    <r>
      <rPr>
        <sz val="9"/>
        <rFont val="맑은 고딕"/>
        <family val="3"/>
        <charset val="129"/>
      </rPr>
      <t xml:space="preserve">2. </t>
    </r>
    <r>
      <rPr>
        <sz val="9"/>
        <rFont val="Noto Sans CJK SC"/>
        <family val="2"/>
      </rPr>
      <t>상세 정보와 비교</t>
    </r>
  </si>
  <si>
    <t>이동</t>
  </si>
  <si>
    <t>상품 목록 화면으로 복귀되며 목록 상태가 유지되는지 확인</t>
  </si>
  <si>
    <r>
      <rPr>
        <sz val="9"/>
        <rFont val="맑은 고딕"/>
        <family val="3"/>
        <charset val="129"/>
      </rPr>
      <t>상품명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/ 가격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</si>
  <si>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형식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안내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일반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실패로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처리되는지 확인</t>
    </r>
    <phoneticPr fontId="10" type="noConversion"/>
  </si>
  <si>
    <r>
      <rPr>
        <sz val="9"/>
        <rFont val="맑은 고딕"/>
        <family val="3"/>
        <charset val="129"/>
      </rPr>
      <t>선택한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색상이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활성화되는지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</si>
  <si>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0으로 감소 및 Add to cart 버튼 비활성화 확인</t>
    <phoneticPr fontId="10" type="noConversion"/>
  </si>
  <si>
    <r>
      <rPr>
        <sz val="9"/>
        <rFont val="맑은 고딕"/>
        <family val="3"/>
        <charset val="129"/>
      </rPr>
      <t>정상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증가하며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크래시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없는지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</si>
  <si>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rPr>
        <sz val="9"/>
        <rFont val="맑은 고딕"/>
        <family val="3"/>
        <charset val="129"/>
      </rPr>
      <t>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담은 상태</t>
    </r>
    <phoneticPr fontId="10" type="noConversion"/>
  </si>
  <si>
    <r>
      <rPr>
        <sz val="9"/>
        <rFont val="맑은 고딕"/>
        <family val="3"/>
        <charset val="129"/>
      </rPr>
      <t>상세의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상품명·가격·수량이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장바구니</t>
    </r>
    <r>
      <rPr>
        <sz val="9"/>
        <rFont val="맑은 고딕"/>
        <family val="3"/>
        <charset val="129"/>
      </rPr>
      <t>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동일하게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</si>
  <si>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장바구니</t>
    <phoneticPr fontId="10" type="noConversion"/>
  </si>
  <si>
    <t>장바구니 화면</t>
  </si>
  <si>
    <t>카트 이동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</si>
  <si>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개 이상 담음</t>
    </r>
  </si>
  <si>
    <r>
      <rPr>
        <sz val="9"/>
        <rFont val="Noto Sans CJK SC"/>
        <family val="2"/>
      </rPr>
      <t>장바구니</t>
    </r>
    <r>
      <rPr>
        <sz val="9"/>
        <rFont val="맑은 고딕"/>
        <family val="3"/>
        <charset val="129"/>
      </rPr>
      <t xml:space="preserve">(My cart) </t>
    </r>
    <r>
      <rPr>
        <sz val="9"/>
        <rFont val="Noto Sans CJK SC"/>
        <family val="2"/>
      </rPr>
      <t>화면으로 진입되는지 확인</t>
    </r>
  </si>
  <si>
    <t>장바구니 진입</t>
  </si>
  <si>
    <t>Title : My cart</t>
  </si>
  <si>
    <t>상품 항목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</si>
  <si>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담은 상품 항목 확인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</si>
  <si>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상품 항목 우측 확인</t>
    </r>
  </si>
  <si>
    <r>
      <rPr>
        <sz val="9"/>
        <rFont val="Noto Sans CJK SC"/>
        <family val="2"/>
      </rPr>
      <t xml:space="preserve">수량 </t>
    </r>
    <r>
      <rPr>
        <sz val="9"/>
        <rFont val="맑은 고딕"/>
        <family val="3"/>
        <charset val="129"/>
      </rPr>
      <t xml:space="preserve">+/- </t>
    </r>
    <r>
      <rPr>
        <sz val="9"/>
        <rFont val="Noto Sans CJK SC"/>
        <family val="2"/>
      </rPr>
      <t>조절 영역 노출되는지 확인</t>
    </r>
  </si>
  <si>
    <t>합계 영역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</si>
  <si>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하단 합계 영역 확인</t>
    </r>
  </si>
  <si>
    <t>담은 상품이 목록에 정상 출력되는지 확인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</si>
  <si>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개 이상 담음</t>
    </r>
  </si>
  <si>
    <t>담은 상품이 모두 각각의 항목으로 출력되는지 확인</t>
  </si>
  <si>
    <t>복수 상품 담음</t>
  </si>
  <si>
    <t>수량 변경 반영</t>
  </si>
  <si>
    <t>카트에 상품 있음</t>
  </si>
  <si>
    <t>수량 증가</t>
  </si>
  <si>
    <t>수량 감소</t>
  </si>
  <si>
    <r>
      <rPr>
        <sz val="9"/>
        <rFont val="Noto Sans CJK SC"/>
        <family val="2"/>
      </rPr>
      <t xml:space="preserve">수량 </t>
    </r>
    <r>
      <rPr>
        <sz val="9"/>
        <rFont val="맑은 고딕"/>
        <family val="3"/>
        <charset val="129"/>
      </rPr>
      <t xml:space="preserve">2 </t>
    </r>
    <r>
      <rPr>
        <sz val="9"/>
        <rFont val="Noto Sans CJK SC"/>
        <family val="2"/>
      </rPr>
      <t>이상</t>
    </r>
  </si>
  <si>
    <r>
      <rPr>
        <sz val="9"/>
        <rFont val="Noto Sans CJK SC"/>
        <family val="2"/>
      </rPr>
      <t xml:space="preserve">해당 상품 수량이 </t>
    </r>
    <r>
      <rPr>
        <sz val="9"/>
        <rFont val="맑은 고딕"/>
        <family val="3"/>
        <charset val="129"/>
      </rPr>
      <t xml:space="preserve">-1 </t>
    </r>
    <r>
      <rPr>
        <sz val="9"/>
        <rFont val="Noto Sans CJK SC"/>
        <family val="2"/>
      </rPr>
      <t>되고 소계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합계 반영되는지 확인</t>
    </r>
  </si>
  <si>
    <t>수량 최소 경계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</si>
  <si>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개 이상</t>
    </r>
  </si>
  <si>
    <t>전체 삭제</t>
  </si>
  <si>
    <t>모든 상품 삭제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</si>
  <si>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모든 항목 </t>
    </r>
    <r>
      <rPr>
        <sz val="9"/>
        <rFont val="맑은 고딕"/>
        <family val="3"/>
        <charset val="129"/>
      </rPr>
      <t>Remove</t>
    </r>
  </si>
  <si>
    <t>빈 장바구니 상태가 정상 노출되는지 확인</t>
  </si>
  <si>
    <t>정상 진입</t>
  </si>
  <si>
    <r>
      <rPr>
        <sz val="9"/>
        <rFont val="맑은 고딕"/>
        <family val="3"/>
        <charset val="129"/>
      </rPr>
      <t>장바구니에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담기고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상단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장바구니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카운트가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+1 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</si>
  <si>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rPr>
        <sz val="9"/>
        <rFont val="맑은 고딕"/>
        <family val="3"/>
        <charset val="129"/>
      </rPr>
      <t>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이미지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/ 상품명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/ 색상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/ 가격 / 별점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</si>
  <si>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Total 금액과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결제(Proceed To Checkout) 버튼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</si>
  <si>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상품명·가격이 상세와 동일하게 출력되는지 확인</t>
  </si>
  <si>
    <t>표시 합계가 (가격×수량) 총합과 일치하는지 확인</t>
  </si>
  <si>
    <t>1. 상세 상품명·가격과 카트 표시값 비교</t>
  </si>
  <si>
    <t>1. (가격×수량) 계산
2. 표시 Total과 비교</t>
    <phoneticPr fontId="10" type="noConversion"/>
  </si>
  <si>
    <r>
      <rPr>
        <sz val="9"/>
        <rFont val="맑은 고딕"/>
        <family val="3"/>
        <charset val="129"/>
      </rPr>
      <t>수량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증가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Total에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즉시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반영</t>
    </r>
    <r>
      <rPr>
        <sz val="9"/>
        <rFont val="맑은 고딕"/>
        <family val="3"/>
        <charset val="129"/>
      </rPr>
      <t>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</si>
  <si>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rPr>
        <sz val="9"/>
        <rFont val="맑은 고딕"/>
        <family val="3"/>
        <charset val="129"/>
      </rPr>
      <t>해당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수량이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+1 되고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소계·합계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반영되는지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</si>
  <si>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해당 상품이 목록에서 제거되는지 확인</t>
    <phoneticPr fontId="10" type="noConversion"/>
  </si>
  <si>
    <r>
      <rPr>
        <sz val="9"/>
        <rFont val="맑은 고딕"/>
        <family val="3"/>
        <charset val="129"/>
      </rPr>
      <t>해당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상품이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목록에서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제거되고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합계에 반영되는지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</si>
  <si>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 xml:space="preserve">Title / </t>
    </r>
    <r>
      <rPr>
        <sz val="9"/>
        <rFont val="맑은 고딕"/>
        <family val="3"/>
        <charset val="129"/>
      </rPr>
      <t>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장바구니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설명</t>
    </r>
    <r>
      <rPr>
        <sz val="9"/>
        <rFont val="Arial"/>
        <family val="2"/>
      </rPr>
      <t xml:space="preserve"> / </t>
    </r>
    <r>
      <rPr>
        <sz val="9"/>
        <rFont val="맑은 고딕"/>
        <family val="3"/>
        <charset val="129"/>
      </rPr>
      <t>버튼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 xml:space="preserve">확인
</t>
    </r>
    <r>
      <rPr>
        <sz val="9"/>
        <rFont val="Arial"/>
        <family val="2"/>
      </rPr>
      <t xml:space="preserve">Title : No Items
</t>
    </r>
    <r>
      <rPr>
        <sz val="9"/>
        <rFont val="맑은 고딕"/>
        <family val="3"/>
        <charset val="129"/>
      </rPr>
      <t>설명</t>
    </r>
    <r>
      <rPr>
        <sz val="9"/>
        <rFont val="Arial"/>
        <family val="2"/>
      </rPr>
      <t xml:space="preserve"> : Oh no! Your cart is empty. Fill it up with swag to complete your purchase.
</t>
    </r>
    <r>
      <rPr>
        <sz val="9"/>
        <rFont val="맑은 고딕"/>
        <family val="2"/>
        <charset val="129"/>
      </rPr>
      <t>버튼 : Go Shopping</t>
    </r>
    <phoneticPr fontId="10" type="noConversion"/>
  </si>
  <si>
    <r>
      <rPr>
        <sz val="9"/>
        <rFont val="맑은 고딕"/>
        <family val="3"/>
        <charset val="129"/>
      </rPr>
      <t>결제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진입</t>
    </r>
    <phoneticPr fontId="10" type="noConversion"/>
  </si>
  <si>
    <r>
      <t>1. 결제 버튼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클릭</t>
    </r>
    <phoneticPr fontId="10" type="noConversion"/>
  </si>
  <si>
    <r>
      <rPr>
        <sz val="9"/>
        <rFont val="맑은 고딕"/>
        <family val="3"/>
        <charset val="129"/>
      </rPr>
      <t>배송지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입력(Checkout) 화면으로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이동</t>
    </r>
    <r>
      <rPr>
        <sz val="9"/>
        <rFont val="맑은 고딕"/>
        <family val="3"/>
        <charset val="129"/>
      </rPr>
      <t>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</si>
  <si>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결제 화면</t>
  </si>
  <si>
    <t>장바구니에서 결제 진행</t>
  </si>
  <si>
    <t>배송지 입력 화면으로 진입되는지 확인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</si>
  <si>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입력 항목 확인</t>
    </r>
  </si>
  <si>
    <t>다음 단계로 진행되지 않고 배송지 화면에 머무는지 확인</t>
  </si>
  <si>
    <t>누락된 필수 항목 안내가 출력되는지 확인</t>
  </si>
  <si>
    <t>결제수단 폼</t>
  </si>
  <si>
    <r>
      <rPr>
        <sz val="9"/>
        <rFont val="맑은 고딕"/>
        <family val="3"/>
        <charset val="129"/>
      </rPr>
      <t xml:space="preserve">To Payment </t>
    </r>
    <r>
      <rPr>
        <sz val="9"/>
        <rFont val="Noto Sans CJK SC"/>
        <family val="2"/>
      </rPr>
      <t>진입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</si>
  <si>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결제수단 화면 확인</t>
    </r>
  </si>
  <si>
    <r>
      <rPr>
        <sz val="9"/>
        <rFont val="Noto Sans CJK SC"/>
        <family val="2"/>
      </rPr>
      <t>주문 검토</t>
    </r>
    <r>
      <rPr>
        <sz val="9"/>
        <rFont val="맑은 고딕"/>
        <family val="3"/>
        <charset val="129"/>
      </rPr>
      <t xml:space="preserve">(Review) </t>
    </r>
    <r>
      <rPr>
        <sz val="9"/>
        <rFont val="Noto Sans CJK SC"/>
        <family val="2"/>
      </rPr>
      <t>화면으로 전환되는지 확인</t>
    </r>
  </si>
  <si>
    <t>주문이 진행되지 않고 입력 안내되는지 확인</t>
  </si>
  <si>
    <r>
      <rPr>
        <sz val="9"/>
        <rFont val="맑은 고딕"/>
        <family val="3"/>
        <charset val="129"/>
      </rPr>
      <t xml:space="preserve">'Value looks invalid' </t>
    </r>
    <r>
      <rPr>
        <sz val="9"/>
        <rFont val="Noto Sans CJK SC"/>
        <family val="2"/>
      </rPr>
      <t>유효성 경고가 출력되는지 확인</t>
    </r>
  </si>
  <si>
    <t>유효기간 오류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</si>
  <si>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잘못된 만료일 입력</t>
    </r>
  </si>
  <si>
    <t>유효성 경고가 출력되며 진행 차단되는지 확인</t>
  </si>
  <si>
    <t>주문 검토</t>
  </si>
  <si>
    <t>금액 정합성</t>
  </si>
  <si>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화면 진입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</si>
  <si>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카트 합계와 </t>
    </r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결제 금액 비교</t>
    </r>
  </si>
  <si>
    <r>
      <rPr>
        <sz val="9"/>
        <rFont val="Noto Sans CJK SC"/>
        <family val="2"/>
      </rPr>
      <t>배송지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상품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결제금액이 이전 단계와 일치하는지 확인</t>
    </r>
  </si>
  <si>
    <t>배송지 정합성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</si>
  <si>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입력 배송지와 </t>
    </r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표시 비교</t>
    </r>
  </si>
  <si>
    <t>입력한 배송지가 그대로 표시되는지 확인</t>
  </si>
  <si>
    <t>주문 완료</t>
  </si>
  <si>
    <t>정상 완료</t>
  </si>
  <si>
    <r>
      <rPr>
        <sz val="9"/>
        <rFont val="맑은 고딕"/>
        <family val="3"/>
        <charset val="129"/>
      </rPr>
      <t xml:space="preserve">Review </t>
    </r>
    <r>
      <rPr>
        <sz val="9"/>
        <rFont val="Noto Sans CJK SC"/>
        <family val="2"/>
      </rPr>
      <t>정상 진행</t>
    </r>
  </si>
  <si>
    <t>완료 안내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</si>
  <si>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완료 화면 확인</t>
    </r>
  </si>
  <si>
    <t>연속 화면 복귀</t>
  </si>
  <si>
    <t>주문 완료 후</t>
  </si>
  <si>
    <t>상품 목록으로 복귀되며 카트가 비워졌는지 확인</t>
  </si>
  <si>
    <t>중단</t>
  </si>
  <si>
    <t>결제 중 이탈</t>
  </si>
  <si>
    <t>결제 진행 중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</si>
  <si>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결제 중 뒤로가기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홈 이동</t>
    </r>
  </si>
  <si>
    <r>
      <rPr>
        <sz val="9"/>
        <rFont val="Noto Sans CJK SC"/>
        <family val="2"/>
      </rPr>
      <t xml:space="preserve">주문이 중복 생성되지 않고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건만 처리되는지 확인</t>
    </r>
  </si>
  <si>
    <r>
      <t>1. 카트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&gt; 결제 버튼 클릭</t>
    </r>
    <phoneticPr fontId="10" type="noConversion"/>
  </si>
  <si>
    <t>1. 좌측 상단 메뉴 클릭</t>
  </si>
  <si>
    <t>1. 좌측 상단 메뉴 클릭
2. 'Log In' 선택</t>
  </si>
  <si>
    <t>1. ID 공란, PW만 입력
2. Login 클릭</t>
  </si>
  <si>
    <t>1. ID만 입력, PW 공란
2. Login 클릭</t>
  </si>
  <si>
    <t>1. 정렬 버튼(↑A) 클릭</t>
  </si>
  <si>
    <t>1. 상품 카드 클릭</t>
  </si>
  <si>
    <t>1. 색상 옵션 클릭</t>
  </si>
  <si>
    <t>1. + 버튼 1회 클릭</t>
  </si>
  <si>
    <t>1. - 버튼 1회 클릭</t>
  </si>
  <si>
    <t>1. 수량 1에서 - 추가 클릭</t>
  </si>
  <si>
    <t>1. + 버튼 반복 클릭</t>
  </si>
  <si>
    <t>1. Add to cart 클릭</t>
  </si>
  <si>
    <t>1. 수량 3으로 변경
2. Add to cart 클릭</t>
  </si>
  <si>
    <t>1. 뒤로가기(←) 클릭</t>
  </si>
  <si>
    <t>담기 연속 클릭</t>
  </si>
  <si>
    <t>1. Add to cart 빠르게 연속 클릭</t>
  </si>
  <si>
    <t>클릭 횟수만큼 일관되게 담기며 중복·크래시 없는지 확인</t>
  </si>
  <si>
    <t>1. 상단 장바구니 버튼 클릭</t>
  </si>
  <si>
    <t>1. 카트 내 + 버튼 클릭</t>
  </si>
  <si>
    <t>1. 항목 + 버튼 클릭</t>
  </si>
  <si>
    <t>1. 항목 - 버튼 클릭</t>
  </si>
  <si>
    <t>1. 항목 Remove 클릭</t>
  </si>
  <si>
    <t>수량 연속 클릭</t>
  </si>
  <si>
    <t>1. + 버튼 빠르게 연속 클릭</t>
  </si>
  <si>
    <t>클릭 횟수만큼 정확히 반영되고 합계 오차·크래시 없는지 확인</t>
  </si>
  <si>
    <t>1. 빈 값으로 To Payment 클릭</t>
  </si>
  <si>
    <t>완료 버튼 연속 클릭</t>
  </si>
  <si>
    <t>1. Place Order 빠르게 연속 클릭</t>
  </si>
  <si>
    <r>
      <rPr>
        <sz val="9"/>
        <rFont val="맑은 고딕"/>
        <family val="3"/>
        <charset val="129"/>
      </rPr>
      <t>배송지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상세페이지</t>
    </r>
    <phoneticPr fontId="10" type="noConversion"/>
  </si>
  <si>
    <t>배송지 상세페이지 진입</t>
    <phoneticPr fontId="10" type="noConversion"/>
  </si>
  <si>
    <r>
      <t>Enter a shipping address' 타이틀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</si>
  <si>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Full Name / Address Line1 / Address Line2 / City / State / Zip Code / Country 필드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</si>
  <si>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rPr>
        <sz val="9"/>
        <rFont val="맑은 고딕"/>
        <family val="3"/>
        <charset val="129"/>
      </rPr>
      <t>결제수단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입력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화면으로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전환되는지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</si>
  <si>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1. 전체 항목 입력
2. To Payment 버튼 클릭</t>
    <phoneticPr fontId="10" type="noConversion"/>
  </si>
  <si>
    <t>미입력</t>
    <phoneticPr fontId="10" type="noConversion"/>
  </si>
  <si>
    <r>
      <rPr>
        <sz val="9"/>
        <rFont val="맑은 고딕"/>
        <family val="3"/>
        <charset val="129"/>
      </rPr>
      <t>누락된 필수 항목 안내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문구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</si>
  <si>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Full Name / Card Number / Expiration / Security Code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카드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입력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</si>
  <si>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1. 카드 정보 정상 입력
2. Review Order 버튼 클릭</t>
    <phoneticPr fontId="10" type="noConversion"/>
  </si>
  <si>
    <r>
      <rPr>
        <sz val="9"/>
        <rFont val="맑은 고딕"/>
        <family val="3"/>
        <charset val="129"/>
      </rPr>
      <t>주문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화면(Checkout Complete)으로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이동</t>
    </r>
    <r>
      <rPr>
        <sz val="9"/>
        <rFont val="맑은 고딕"/>
        <family val="3"/>
        <charset val="129"/>
      </rPr>
      <t>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</si>
  <si>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t>Checkout Complete' 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메시지가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노출되는지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</si>
  <si>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1. Continue Shopping 버튼 클릭</t>
    <phoneticPr fontId="10" type="noConversion"/>
  </si>
  <si>
    <t>1. Place Order 버튼 클릭</t>
    <phoneticPr fontId="10" type="noConversion"/>
  </si>
  <si>
    <t>결제 이전 페이지로 이동되는지 확인</t>
    <phoneticPr fontId="10" type="noConversion"/>
  </si>
  <si>
    <t>로그인 영역</t>
    <phoneticPr fontId="10" type="noConversion"/>
  </si>
  <si>
    <t>메뉴 열기</t>
  </si>
  <si>
    <r>
      <rPr>
        <sz val="9"/>
        <rFont val="Noto Sans CJK SC"/>
        <family val="2"/>
      </rPr>
      <t xml:space="preserve">메뉴가 열리고 </t>
    </r>
    <r>
      <rPr>
        <sz val="9"/>
        <rFont val="맑은 고딕"/>
        <family val="3"/>
        <charset val="129"/>
      </rPr>
      <t xml:space="preserve">Log Out </t>
    </r>
    <r>
      <rPr>
        <sz val="9"/>
        <rFont val="Noto Sans CJK SC"/>
        <family val="2"/>
      </rPr>
      <t>항목이 노출되는지 확인</t>
    </r>
  </si>
  <si>
    <t>로그아웃 실행</t>
  </si>
  <si>
    <t>로그아웃 처리되는지 확인</t>
  </si>
  <si>
    <t>세션 종료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</si>
  <si>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좌측 메뉴 재확인</t>
    </r>
  </si>
  <si>
    <r>
      <rPr>
        <sz val="9"/>
        <rFont val="Noto Sans CJK SC"/>
        <family val="2"/>
      </rPr>
      <t xml:space="preserve">메뉴 항목이 </t>
    </r>
    <r>
      <rPr>
        <sz val="9"/>
        <rFont val="맑은 고딕"/>
        <family val="3"/>
        <charset val="129"/>
      </rPr>
      <t>'Log Out'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3"/>
        <charset val="129"/>
      </rPr>
      <t>'Log In'</t>
    </r>
    <r>
      <rPr>
        <sz val="9"/>
        <rFont val="Noto Sans CJK SC"/>
        <family val="2"/>
      </rPr>
      <t>으로 변경되는지 확인</t>
    </r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</si>
  <si>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 xml:space="preserve">유효 </t>
    </r>
    <r>
      <rPr>
        <sz val="9"/>
        <rFont val="맑은 고딕"/>
        <family val="3"/>
        <charset val="129"/>
      </rPr>
      <t>ID/PW</t>
    </r>
    <r>
      <rPr>
        <sz val="9"/>
        <rFont val="Noto Sans CJK SC"/>
        <family val="2"/>
      </rPr>
      <t>로 다시 로그인</t>
    </r>
  </si>
  <si>
    <t>정상적으로 재로그인되는지 확인</t>
  </si>
  <si>
    <t>상태 초기화</t>
  </si>
  <si>
    <t>재로그인 후</t>
  </si>
  <si>
    <r>
      <rPr>
        <sz val="9"/>
        <rFont val="맑은 고딕"/>
        <family val="3"/>
        <charset val="129"/>
      </rPr>
      <t xml:space="preserve">1. </t>
    </r>
    <r>
      <rPr>
        <sz val="9"/>
        <rFont val="Noto Sans CJK SC"/>
        <family val="2"/>
      </rPr>
      <t>장바구니 등 상태 확인</t>
    </r>
  </si>
  <si>
    <t>이전 세션 데이터가 정책에 맞게 처리되는지 확인</t>
  </si>
  <si>
    <r>
      <rPr>
        <sz val="9"/>
        <rFont val="맑은 고딕"/>
        <family val="3"/>
        <charset val="129"/>
      </rPr>
      <t>로그아웃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팝업창 노출되는지 확인</t>
    </r>
    <phoneticPr fontId="10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</si>
  <si>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화면으로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이동</t>
    </r>
    <r>
      <rPr>
        <sz val="9"/>
        <rFont val="맑은 고딕"/>
        <family val="3"/>
        <charset val="129"/>
      </rPr>
      <t>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</si>
  <si>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r>
      <rPr>
        <sz val="9"/>
        <rFont val="맑은 고딕"/>
        <family val="3"/>
        <charset val="129"/>
      </rPr>
      <t>중복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처리·크래시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없이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정상적으로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로그아웃되는지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10" type="noConversion"/>
  </si>
  <si>
    <t>1. 좌측 메뉴 버튼 클릭</t>
  </si>
  <si>
    <t>1. 메뉴 &gt; Log Out 클릭</t>
  </si>
  <si>
    <t>1. 메뉴 &gt; Log Out 클릭
2. LOGOUT 버튼 클릭</t>
  </si>
  <si>
    <t>로그아웃 연속 클릭</t>
  </si>
  <si>
    <t>1. Log Out 빠르게 연속 클릭</t>
  </si>
  <si>
    <t>1. 오프라인 진입</t>
    <phoneticPr fontId="10" type="noConversion"/>
  </si>
  <si>
    <t>네트워크 오류 안내가 노출되는지 확인</t>
    <phoneticPr fontId="10" type="noConversion"/>
  </si>
  <si>
    <t>1. 로딩 중 네트워크 진입</t>
    <phoneticPr fontId="10" type="noConversion"/>
  </si>
  <si>
    <t>MODULE VERSION : 1.1.1</t>
    <phoneticPr fontId="10" type="noConversion"/>
  </si>
  <si>
    <r>
      <t xml:space="preserve">TEST </t>
    </r>
    <r>
      <rPr>
        <sz val="11"/>
        <color theme="1"/>
        <rFont val="맑은 고딕"/>
        <family val="2"/>
        <charset val="129"/>
      </rPr>
      <t>기간</t>
    </r>
    <r>
      <rPr>
        <sz val="11"/>
        <color theme="1"/>
        <rFont val="Calibri"/>
        <family val="2"/>
        <charset val="1"/>
      </rPr>
      <t xml:space="preserve"> : 2026.06.01 ~ 2026.06.02</t>
    </r>
    <phoneticPr fontId="10" type="noConversion"/>
  </si>
  <si>
    <t xml:space="preserve">Device : </t>
    <phoneticPr fontId="10" type="noConversion"/>
  </si>
  <si>
    <t xml:space="preserve">OS ver : </t>
    <phoneticPr fontId="10" type="noConversion"/>
  </si>
  <si>
    <t>TEST RESULT</t>
    <phoneticPr fontId="10" type="noConversion"/>
  </si>
  <si>
    <t>Fail</t>
    <phoneticPr fontId="10" type="noConversion"/>
  </si>
  <si>
    <t>N/A</t>
    <phoneticPr fontId="10" type="noConversion"/>
  </si>
  <si>
    <t>TOTAL</t>
    <phoneticPr fontId="10" type="noConversion"/>
  </si>
  <si>
    <t>Reminder</t>
    <phoneticPr fontId="10" type="noConversion"/>
  </si>
  <si>
    <t xml:space="preserve">작성자 : </t>
    <phoneticPr fontId="10" type="noConversion"/>
  </si>
  <si>
    <t xml:space="preserve">기획자 : </t>
    <phoneticPr fontId="10" type="noConversion"/>
  </si>
  <si>
    <t xml:space="preserve">개발자 : </t>
    <phoneticPr fontId="10" type="noConversion"/>
  </si>
  <si>
    <t xml:space="preserve">검증 : </t>
    <phoneticPr fontId="10" type="noConversion"/>
  </si>
  <si>
    <r>
      <rPr>
        <sz val="9"/>
        <rFont val="맑은 고딕"/>
        <family val="3"/>
        <charset val="129"/>
      </rPr>
      <t>로그인/상품/결제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TC 작성</t>
    </r>
    <phoneticPr fontId="10" type="noConversion"/>
  </si>
  <si>
    <t>강유나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</si>
</sst>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9"/>
      <color rgb="FF006100"/>
      <name val="맑은 고딕"/>
      <family val="3"/>
      <charset val="129"/>
    </font>
    <font>
      <b/>
      <sz val="9"/>
      <color rgb="FF9C0006"/>
      <name val="맑은 고딕"/>
      <family val="3"/>
      <charset val="129"/>
    </font>
    <font>
      <b/>
      <sz val="9"/>
      <color rgb="FF9C6500"/>
      <name val="맑은 고딕"/>
      <family val="3"/>
      <charset val="129"/>
    </font>
    <font>
      <sz val="9"/>
      <color rgb="FF767171"/>
      <name val="맑은 고딕"/>
      <family val="3"/>
      <charset val="129"/>
    </font>
    <font>
      <b/>
      <sz val="9"/>
      <name val="Noto Sans CJK SC"/>
      <family val="2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Noto Sans CJK SC"/>
      <family val="2"/>
    </font>
    <font>
      <b/>
      <sz val="13"/>
      <name val="Noto Sans CJK SC"/>
      <family val="2"/>
    </font>
    <font>
      <sz val="8"/>
      <name val="돋움"/>
      <family val="3"/>
      <charset val="129"/>
    </font>
    <font>
      <b/>
      <sz val="9"/>
      <name val="맑은 고딕"/>
      <family val="2"/>
      <charset val="129"/>
    </font>
    <font>
      <b/>
      <sz val="9"/>
      <name val="Arial"/>
      <family val="2"/>
    </font>
    <font>
      <b/>
      <sz val="9"/>
      <name val="Noto Sans CJK SC"/>
      <family val="3"/>
      <charset val="129"/>
    </font>
    <font>
      <b/>
      <sz val="9"/>
      <name val="Noto Sans CJK SC"/>
      <family val="2"/>
      <charset val="129"/>
    </font>
    <font>
      <sz val="9"/>
      <name val="돋움"/>
      <family val="3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Noto Sans CJK SC"/>
      <family val="3"/>
      <charset val="129"/>
    </font>
    <font>
      <sz val="9"/>
      <name val="Segoe UI Symbol"/>
      <family val="3"/>
    </font>
    <font>
      <sz val="9"/>
      <name val="Noto Sans CJK SC"/>
      <family val="2"/>
      <charset val="1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rgb="FFFFEB9C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/>
      <right style="thin">
        <color rgb="FFC9C9C9"/>
      </right>
      <top style="thin">
        <color rgb="FFC9C9C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 style="thin">
        <color rgb="FFC9C9C9"/>
      </top>
      <bottom style="thin">
        <color rgb="FFD9E2F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14" fontId="7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4" xfId="0" quotePrefix="1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top" wrapText="1"/>
    </xf>
    <xf numFmtId="14" fontId="7" fillId="0" borderId="4" xfId="0" applyNumberFormat="1" applyFont="1" applyBorder="1" applyAlignment="1">
      <alignment horizontal="center" vertical="center" wrapText="1"/>
    </xf>
    <xf numFmtId="1" fontId="22" fillId="3" borderId="32" xfId="0" applyNumberFormat="1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21" fillId="0" borderId="26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1" fontId="22" fillId="0" borderId="3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</cellXfs>
  <cellStyles count="1">
    <cellStyle name="표준" xfId="0" builtinId="0"/>
  </cellStyles>
  <dxfs count="6">
    <dxf>
      <font>
        <b/>
        <i val="0"/>
        <color rgb="FF666666"/>
      </font>
      <fill>
        <patternFill patternType="solid">
          <fgColor indexed="64"/>
          <bgColor rgb="FFD9D9D9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  <dxf>
      <font>
        <b/>
        <i val="0"/>
        <color rgb="FF666666"/>
      </font>
      <fill>
        <patternFill patternType="solid">
          <fgColor indexed="64"/>
          <bgColor rgb="FFD9D9D9"/>
        </patternFill>
      </fill>
    </dxf>
    <dxf>
      <font>
        <b/>
        <i val="0"/>
        <color rgb="FF990000"/>
      </font>
      <fill>
        <patternFill patternType="solid">
          <fgColor indexed="64"/>
          <bgColor rgb="FFF4CCCC"/>
        </patternFill>
      </fill>
    </dxf>
    <dxf>
      <font>
        <b/>
        <i val="0"/>
        <color rgb="FF274E13"/>
      </font>
      <fill>
        <patternFill patternType="solid">
          <fgColor indexed="64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9C9C9"/>
      <rgbColor rgb="FF767171"/>
      <rgbColor rgb="FF9999FF"/>
      <rgbColor rgb="FF993366"/>
      <rgbColor rgb="FFE2EFDA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B065-31CB-45F4-931B-C3EF99958CB3}">
  <dimension ref="B1:N220"/>
  <sheetViews>
    <sheetView showGridLines="0" tabSelected="1" zoomScaleNormal="100" workbookViewId="0">
      <pane ySplit="11" topLeftCell="A12" activePane="bottomLeft" state="frozen"/>
      <selection pane="bottomLeft"/>
    </sheetView>
  </sheetViews>
  <sheetFormatPr defaultColWidth="8.7109375" defaultRowHeight="15"/>
  <cols>
    <col min="1" max="1" width="2.5703125" style="9" customWidth="1"/>
    <col min="2" max="2" width="4.5703125" style="9" bestFit="1" customWidth="1"/>
    <col min="3" max="3" width="13.28515625" style="17" customWidth="1"/>
    <col min="4" max="4" width="13.7109375" style="17" customWidth="1"/>
    <col min="5" max="5" width="14" style="17" customWidth="1"/>
    <col min="6" max="6" width="20" style="17" customWidth="1"/>
    <col min="7" max="7" width="22" style="17" customWidth="1"/>
    <col min="8" max="8" width="34" style="9" customWidth="1"/>
    <col min="9" max="9" width="52.42578125" style="9" customWidth="1"/>
    <col min="10" max="10" width="11" style="9" customWidth="1"/>
    <col min="11" max="11" width="24" style="9" customWidth="1"/>
    <col min="12" max="12" width="14.85546875" style="9" customWidth="1"/>
    <col min="13" max="13" width="10" style="9" customWidth="1"/>
    <col min="14" max="14" width="11" style="9" customWidth="1"/>
    <col min="15" max="16384" width="8.7109375" style="9"/>
  </cols>
  <sheetData>
    <row r="1" spans="2:14" ht="15.75" thickBot="1"/>
    <row r="2" spans="2:14" ht="15.75" thickBot="1">
      <c r="K2" s="70" t="s">
        <v>350</v>
      </c>
      <c r="L2" s="71"/>
      <c r="M2" s="71"/>
      <c r="N2" s="72"/>
    </row>
    <row r="3" spans="2:14" ht="15.75" thickBot="1">
      <c r="B3" s="38" t="s">
        <v>348</v>
      </c>
      <c r="C3" s="39"/>
      <c r="D3" s="40"/>
      <c r="K3" s="73" t="s">
        <v>351</v>
      </c>
      <c r="L3" s="74"/>
      <c r="M3" s="74"/>
      <c r="N3" s="75"/>
    </row>
    <row r="4" spans="2:14" ht="17.25" thickBot="1">
      <c r="B4" s="45" t="s">
        <v>349</v>
      </c>
      <c r="C4" s="46"/>
      <c r="D4" s="47"/>
      <c r="K4" s="76" t="s">
        <v>352</v>
      </c>
      <c r="L4" s="77"/>
      <c r="M4" s="77"/>
      <c r="N4" s="78"/>
    </row>
    <row r="5" spans="2:14" ht="16.5">
      <c r="B5" s="57" t="s">
        <v>358</v>
      </c>
      <c r="C5" s="58"/>
      <c r="D5" s="59"/>
      <c r="K5" s="42" t="s">
        <v>76</v>
      </c>
      <c r="L5" s="79">
        <f>COUNTIF(J:J,"Pass")</f>
        <v>1</v>
      </c>
      <c r="M5" s="80"/>
      <c r="N5" s="81"/>
    </row>
    <row r="6" spans="2:14" ht="16.5">
      <c r="B6" s="60" t="s">
        <v>359</v>
      </c>
      <c r="C6" s="61"/>
      <c r="D6" s="62"/>
      <c r="K6" s="41" t="s">
        <v>353</v>
      </c>
      <c r="L6" s="82">
        <f>COUNTIF(J:J,"Fail")</f>
        <v>1</v>
      </c>
      <c r="M6" s="83"/>
      <c r="N6" s="84"/>
    </row>
    <row r="7" spans="2:14" ht="16.5">
      <c r="B7" s="60" t="s">
        <v>357</v>
      </c>
      <c r="C7" s="61"/>
      <c r="D7" s="62"/>
      <c r="K7" s="41" t="s">
        <v>354</v>
      </c>
      <c r="L7" s="82">
        <f>COUNTIF(J:J,"N/A")</f>
        <v>1</v>
      </c>
      <c r="M7" s="83"/>
      <c r="N7" s="84"/>
    </row>
    <row r="8" spans="2:14" ht="17.25" thickBot="1">
      <c r="B8" s="63" t="s">
        <v>360</v>
      </c>
      <c r="C8" s="64"/>
      <c r="D8" s="65"/>
      <c r="K8" s="44" t="s">
        <v>356</v>
      </c>
      <c r="L8" s="67">
        <f>L9-SUM(L5:L7)</f>
        <v>97</v>
      </c>
      <c r="M8" s="68"/>
      <c r="N8" s="69"/>
    </row>
    <row r="9" spans="2:14" ht="15.75" thickBot="1">
      <c r="B9" s="66"/>
      <c r="C9" s="66"/>
      <c r="D9" s="66"/>
      <c r="K9" s="43" t="s">
        <v>355</v>
      </c>
      <c r="L9" s="54">
        <f>COUNT(B:B)</f>
        <v>100</v>
      </c>
      <c r="M9" s="55"/>
      <c r="N9" s="56"/>
    </row>
    <row r="11" spans="2:14">
      <c r="B11" s="26" t="s">
        <v>2</v>
      </c>
      <c r="C11" s="26" t="s">
        <v>74</v>
      </c>
      <c r="D11" s="26" t="s">
        <v>65</v>
      </c>
      <c r="E11" s="26" t="s">
        <v>66</v>
      </c>
      <c r="F11" s="26" t="s">
        <v>67</v>
      </c>
      <c r="G11" s="27" t="s">
        <v>68</v>
      </c>
      <c r="H11" s="27" t="s">
        <v>69</v>
      </c>
      <c r="I11" s="27" t="s">
        <v>75</v>
      </c>
      <c r="J11" s="28" t="s">
        <v>70</v>
      </c>
      <c r="K11" s="29" t="s">
        <v>3</v>
      </c>
      <c r="L11" s="30" t="s">
        <v>71</v>
      </c>
      <c r="M11" s="27" t="s">
        <v>72</v>
      </c>
      <c r="N11" s="28" t="s">
        <v>73</v>
      </c>
    </row>
    <row r="12" spans="2:14">
      <c r="B12" s="23">
        <f>ROW()-11</f>
        <v>1</v>
      </c>
      <c r="C12" s="21" t="s">
        <v>91</v>
      </c>
      <c r="D12" s="92" t="s">
        <v>123</v>
      </c>
      <c r="E12" s="85" t="s">
        <v>89</v>
      </c>
      <c r="F12" s="16" t="s">
        <v>124</v>
      </c>
      <c r="G12" s="14"/>
      <c r="H12" s="11" t="s">
        <v>78</v>
      </c>
      <c r="I12" s="11" t="s">
        <v>80</v>
      </c>
      <c r="J12" s="5" t="s">
        <v>0</v>
      </c>
      <c r="K12" s="11"/>
      <c r="L12" s="2"/>
      <c r="M12" s="1"/>
      <c r="N12" s="4"/>
    </row>
    <row r="13" spans="2:14" ht="48">
      <c r="B13" s="23">
        <f t="shared" ref="B13:B76" si="0">ROW()-11</f>
        <v>2</v>
      </c>
      <c r="C13" s="93" t="s">
        <v>122</v>
      </c>
      <c r="D13" s="92"/>
      <c r="E13" s="85"/>
      <c r="F13" s="85" t="s">
        <v>106</v>
      </c>
      <c r="G13" s="100" t="s">
        <v>79</v>
      </c>
      <c r="H13" s="19" t="s">
        <v>148</v>
      </c>
      <c r="I13" s="11" t="s">
        <v>86</v>
      </c>
      <c r="J13" s="5" t="s">
        <v>1</v>
      </c>
      <c r="K13" s="11"/>
      <c r="L13" s="2"/>
      <c r="M13" s="1"/>
      <c r="N13" s="4"/>
    </row>
    <row r="14" spans="2:14" ht="24">
      <c r="B14" s="23">
        <f t="shared" si="0"/>
        <v>3</v>
      </c>
      <c r="C14" s="93"/>
      <c r="D14" s="92"/>
      <c r="E14" s="85"/>
      <c r="F14" s="85"/>
      <c r="G14" s="100"/>
      <c r="H14" s="19" t="s">
        <v>149</v>
      </c>
      <c r="I14" s="11" t="s">
        <v>82</v>
      </c>
      <c r="J14" s="5" t="s">
        <v>77</v>
      </c>
      <c r="K14" s="11"/>
      <c r="L14" s="2"/>
      <c r="M14" s="1"/>
      <c r="N14" s="4"/>
    </row>
    <row r="15" spans="2:14">
      <c r="B15" s="23">
        <f t="shared" si="0"/>
        <v>4</v>
      </c>
      <c r="C15" s="93"/>
      <c r="D15" s="92"/>
      <c r="E15" s="85"/>
      <c r="F15" s="85"/>
      <c r="G15" s="100"/>
      <c r="H15" s="19" t="s">
        <v>85</v>
      </c>
      <c r="I15" s="11" t="s">
        <v>84</v>
      </c>
      <c r="J15" s="5"/>
      <c r="K15" s="11"/>
      <c r="L15" s="2"/>
      <c r="M15" s="1"/>
      <c r="N15" s="4"/>
    </row>
    <row r="16" spans="2:14" ht="36">
      <c r="B16" s="23">
        <f t="shared" si="0"/>
        <v>5</v>
      </c>
      <c r="C16" s="93"/>
      <c r="D16" s="92"/>
      <c r="E16" s="85"/>
      <c r="F16" s="16" t="s">
        <v>90</v>
      </c>
      <c r="G16" s="24" t="s">
        <v>87</v>
      </c>
      <c r="H16" s="19" t="s">
        <v>280</v>
      </c>
      <c r="I16" s="11" t="s">
        <v>88</v>
      </c>
      <c r="J16" s="5"/>
      <c r="K16" s="11"/>
      <c r="L16" s="2"/>
      <c r="M16" s="1"/>
      <c r="N16" s="4"/>
    </row>
    <row r="17" spans="2:14" ht="24">
      <c r="B17" s="23">
        <f t="shared" si="0"/>
        <v>6</v>
      </c>
      <c r="C17" s="93"/>
      <c r="D17" s="92"/>
      <c r="E17" s="85"/>
      <c r="F17" s="21" t="s">
        <v>93</v>
      </c>
      <c r="G17" s="25" t="s">
        <v>91</v>
      </c>
      <c r="H17" s="19" t="s">
        <v>281</v>
      </c>
      <c r="I17" s="11" t="s">
        <v>92</v>
      </c>
      <c r="J17" s="5"/>
      <c r="K17" s="11"/>
      <c r="L17" s="2"/>
      <c r="M17" s="1"/>
      <c r="N17" s="4"/>
    </row>
    <row r="18" spans="2:14" ht="48">
      <c r="B18" s="23">
        <f t="shared" si="0"/>
        <v>7</v>
      </c>
      <c r="C18" s="93"/>
      <c r="D18" s="86" t="s">
        <v>125</v>
      </c>
      <c r="E18" s="86" t="s">
        <v>106</v>
      </c>
      <c r="F18" s="93" t="s">
        <v>152</v>
      </c>
      <c r="G18" s="97" t="s">
        <v>118</v>
      </c>
      <c r="H18" s="19" t="s">
        <v>148</v>
      </c>
      <c r="I18" s="11" t="s">
        <v>86</v>
      </c>
      <c r="J18" s="5"/>
      <c r="K18" s="11"/>
      <c r="L18" s="2"/>
      <c r="M18" s="1"/>
      <c r="N18" s="4"/>
    </row>
    <row r="19" spans="2:14" ht="24">
      <c r="B19" s="23">
        <f t="shared" si="0"/>
        <v>8</v>
      </c>
      <c r="C19" s="93"/>
      <c r="D19" s="87"/>
      <c r="E19" s="87"/>
      <c r="F19" s="93"/>
      <c r="G19" s="98"/>
      <c r="H19" s="19" t="s">
        <v>149</v>
      </c>
      <c r="I19" s="11" t="s">
        <v>95</v>
      </c>
      <c r="J19" s="5"/>
      <c r="K19" s="11"/>
      <c r="L19" s="2"/>
      <c r="M19" s="1"/>
      <c r="N19" s="4"/>
    </row>
    <row r="20" spans="2:14">
      <c r="B20" s="23">
        <f t="shared" si="0"/>
        <v>9</v>
      </c>
      <c r="C20" s="93"/>
      <c r="D20" s="87"/>
      <c r="E20" s="87"/>
      <c r="F20" s="86" t="s">
        <v>323</v>
      </c>
      <c r="G20" s="98" t="s">
        <v>118</v>
      </c>
      <c r="H20" s="19" t="s">
        <v>96</v>
      </c>
      <c r="I20" s="11" t="s">
        <v>103</v>
      </c>
      <c r="J20" s="5"/>
      <c r="K20" s="11"/>
      <c r="L20" s="2"/>
      <c r="M20" s="1"/>
      <c r="N20" s="4"/>
    </row>
    <row r="21" spans="2:14">
      <c r="B21" s="23">
        <f t="shared" si="0"/>
        <v>10</v>
      </c>
      <c r="C21" s="93"/>
      <c r="D21" s="87"/>
      <c r="E21" s="87"/>
      <c r="F21" s="87"/>
      <c r="G21" s="98"/>
      <c r="H21" s="19" t="s">
        <v>96</v>
      </c>
      <c r="I21" s="11" t="s">
        <v>104</v>
      </c>
      <c r="J21" s="5"/>
      <c r="K21" s="11"/>
      <c r="L21" s="2"/>
      <c r="M21" s="1"/>
      <c r="N21" s="4"/>
    </row>
    <row r="22" spans="2:14">
      <c r="B22" s="23">
        <f t="shared" si="0"/>
        <v>11</v>
      </c>
      <c r="C22" s="93"/>
      <c r="D22" s="87"/>
      <c r="E22" s="87"/>
      <c r="F22" s="88"/>
      <c r="G22" s="99"/>
      <c r="H22" s="19" t="s">
        <v>96</v>
      </c>
      <c r="I22" s="11" t="s">
        <v>102</v>
      </c>
      <c r="J22" s="5"/>
      <c r="K22" s="11"/>
      <c r="L22" s="2"/>
      <c r="M22" s="1"/>
      <c r="N22" s="4"/>
    </row>
    <row r="23" spans="2:14" ht="24">
      <c r="B23" s="23">
        <f t="shared" si="0"/>
        <v>12</v>
      </c>
      <c r="C23" s="93"/>
      <c r="D23" s="87"/>
      <c r="E23" s="87"/>
      <c r="F23" s="86" t="s">
        <v>98</v>
      </c>
      <c r="G23" s="86" t="s">
        <v>94</v>
      </c>
      <c r="H23" s="19" t="s">
        <v>97</v>
      </c>
      <c r="I23" s="11" t="s">
        <v>100</v>
      </c>
      <c r="J23" s="5"/>
      <c r="K23" s="11"/>
      <c r="L23" s="2"/>
      <c r="M23" s="1"/>
      <c r="N23" s="4"/>
    </row>
    <row r="24" spans="2:14" ht="24">
      <c r="B24" s="23">
        <f t="shared" si="0"/>
        <v>13</v>
      </c>
      <c r="C24" s="93"/>
      <c r="D24" s="87"/>
      <c r="E24" s="88"/>
      <c r="F24" s="88"/>
      <c r="G24" s="88"/>
      <c r="H24" s="19" t="s">
        <v>97</v>
      </c>
      <c r="I24" s="11" t="s">
        <v>101</v>
      </c>
      <c r="J24" s="5"/>
      <c r="K24" s="11"/>
      <c r="L24" s="2"/>
      <c r="M24" s="1"/>
      <c r="N24" s="4"/>
    </row>
    <row r="25" spans="2:14" ht="24">
      <c r="B25" s="23">
        <f t="shared" si="0"/>
        <v>14</v>
      </c>
      <c r="C25" s="93"/>
      <c r="D25" s="87"/>
      <c r="E25" s="86" t="s">
        <v>121</v>
      </c>
      <c r="F25" s="16"/>
      <c r="G25" s="25" t="s">
        <v>4</v>
      </c>
      <c r="H25" s="19" t="s">
        <v>109</v>
      </c>
      <c r="I25" s="11" t="s">
        <v>99</v>
      </c>
      <c r="J25" s="5"/>
      <c r="K25" s="11"/>
      <c r="L25" s="2"/>
      <c r="M25" s="1"/>
      <c r="N25" s="4"/>
    </row>
    <row r="26" spans="2:14">
      <c r="B26" s="23">
        <f t="shared" si="0"/>
        <v>15</v>
      </c>
      <c r="C26" s="93"/>
      <c r="D26" s="87"/>
      <c r="E26" s="88"/>
      <c r="F26" s="18"/>
      <c r="G26" s="25" t="s">
        <v>5</v>
      </c>
      <c r="H26" s="19" t="s">
        <v>108</v>
      </c>
      <c r="I26" s="13" t="s">
        <v>105</v>
      </c>
      <c r="J26" s="5"/>
      <c r="K26" s="11"/>
      <c r="L26" s="2"/>
      <c r="M26" s="1"/>
      <c r="N26" s="4"/>
    </row>
    <row r="27" spans="2:14" ht="24">
      <c r="B27" s="23">
        <f t="shared" si="0"/>
        <v>16</v>
      </c>
      <c r="C27" s="93"/>
      <c r="D27" s="87"/>
      <c r="E27" s="89" t="s">
        <v>93</v>
      </c>
      <c r="F27" s="89" t="s">
        <v>119</v>
      </c>
      <c r="G27" s="86" t="s">
        <v>94</v>
      </c>
      <c r="H27" s="19" t="s">
        <v>107</v>
      </c>
      <c r="I27" s="11" t="s">
        <v>110</v>
      </c>
      <c r="J27" s="5"/>
      <c r="K27" s="11"/>
      <c r="L27" s="2"/>
      <c r="M27" s="1"/>
      <c r="N27" s="4"/>
    </row>
    <row r="28" spans="2:14" ht="24">
      <c r="B28" s="23">
        <f t="shared" si="0"/>
        <v>17</v>
      </c>
      <c r="C28" s="93"/>
      <c r="D28" s="87"/>
      <c r="E28" s="90"/>
      <c r="F28" s="90"/>
      <c r="G28" s="87"/>
      <c r="H28" s="19" t="s">
        <v>282</v>
      </c>
      <c r="I28" s="11" t="s">
        <v>111</v>
      </c>
      <c r="J28" s="5"/>
      <c r="K28" s="11"/>
      <c r="L28" s="2"/>
      <c r="M28" s="1"/>
      <c r="N28" s="4"/>
    </row>
    <row r="29" spans="2:14" ht="24">
      <c r="B29" s="23">
        <f t="shared" si="0"/>
        <v>18</v>
      </c>
      <c r="C29" s="93"/>
      <c r="D29" s="87"/>
      <c r="E29" s="90"/>
      <c r="F29" s="90"/>
      <c r="G29" s="87"/>
      <c r="H29" s="19" t="s">
        <v>283</v>
      </c>
      <c r="I29" s="11" t="s">
        <v>112</v>
      </c>
      <c r="J29" s="5"/>
      <c r="K29" s="11"/>
      <c r="L29" s="2"/>
      <c r="M29" s="1"/>
      <c r="N29" s="4"/>
    </row>
    <row r="30" spans="2:14" ht="24">
      <c r="B30" s="23">
        <f t="shared" si="0"/>
        <v>19</v>
      </c>
      <c r="C30" s="93"/>
      <c r="D30" s="87"/>
      <c r="E30" s="90"/>
      <c r="F30" s="90"/>
      <c r="G30" s="87"/>
      <c r="H30" s="19" t="s">
        <v>114</v>
      </c>
      <c r="I30" s="11" t="s">
        <v>113</v>
      </c>
      <c r="J30" s="5"/>
      <c r="K30" s="11"/>
      <c r="L30" s="2"/>
      <c r="M30" s="1"/>
      <c r="N30" s="4"/>
    </row>
    <row r="31" spans="2:14">
      <c r="B31" s="23">
        <f t="shared" si="0"/>
        <v>20</v>
      </c>
      <c r="C31" s="93"/>
      <c r="D31" s="87"/>
      <c r="E31" s="90"/>
      <c r="F31" s="90"/>
      <c r="G31" s="87"/>
      <c r="H31" s="19" t="s">
        <v>115</v>
      </c>
      <c r="I31" s="11" t="s">
        <v>192</v>
      </c>
      <c r="J31" s="5"/>
      <c r="K31" s="11"/>
      <c r="L31" s="2"/>
      <c r="M31" s="1"/>
      <c r="N31" s="4"/>
    </row>
    <row r="32" spans="2:14">
      <c r="B32" s="23">
        <f t="shared" si="0"/>
        <v>21</v>
      </c>
      <c r="C32" s="93"/>
      <c r="D32" s="87"/>
      <c r="E32" s="22"/>
      <c r="F32" s="22"/>
      <c r="G32" s="37"/>
      <c r="H32" s="19" t="s">
        <v>345</v>
      </c>
      <c r="I32" s="11" t="s">
        <v>346</v>
      </c>
      <c r="J32" s="5"/>
      <c r="K32" s="11"/>
      <c r="L32" s="2"/>
      <c r="M32" s="1"/>
      <c r="N32" s="4"/>
    </row>
    <row r="33" spans="2:14">
      <c r="B33" s="23">
        <f t="shared" si="0"/>
        <v>22</v>
      </c>
      <c r="C33" s="93"/>
      <c r="D33" s="87"/>
      <c r="E33" s="22"/>
      <c r="F33" s="22"/>
      <c r="G33" s="37"/>
      <c r="H33" s="19" t="s">
        <v>347</v>
      </c>
      <c r="I33" s="11" t="s">
        <v>346</v>
      </c>
      <c r="J33" s="5"/>
      <c r="K33" s="11"/>
      <c r="L33" s="2"/>
      <c r="M33" s="1"/>
      <c r="N33" s="4"/>
    </row>
    <row r="34" spans="2:14" ht="24">
      <c r="B34" s="23">
        <f t="shared" si="0"/>
        <v>23</v>
      </c>
      <c r="C34" s="93"/>
      <c r="D34" s="88"/>
      <c r="E34" s="21" t="s">
        <v>121</v>
      </c>
      <c r="F34" s="16" t="s">
        <v>120</v>
      </c>
      <c r="G34" s="24" t="s">
        <v>126</v>
      </c>
      <c r="H34" s="19" t="s">
        <v>117</v>
      </c>
      <c r="I34" s="11" t="s">
        <v>116</v>
      </c>
      <c r="J34" s="5"/>
      <c r="K34" s="11"/>
      <c r="L34" s="2"/>
      <c r="M34" s="1"/>
      <c r="N34" s="4"/>
    </row>
    <row r="35" spans="2:14" ht="48">
      <c r="B35" s="23">
        <f t="shared" si="0"/>
        <v>24</v>
      </c>
      <c r="C35" s="94" t="s">
        <v>58</v>
      </c>
      <c r="D35" s="94" t="s">
        <v>127</v>
      </c>
      <c r="E35" s="89" t="s">
        <v>9</v>
      </c>
      <c r="F35" s="21" t="s">
        <v>152</v>
      </c>
      <c r="G35" s="31" t="s">
        <v>129</v>
      </c>
      <c r="H35" s="32" t="s">
        <v>130</v>
      </c>
      <c r="I35" s="33" t="s">
        <v>131</v>
      </c>
      <c r="J35" s="5"/>
      <c r="K35" s="11"/>
      <c r="L35" s="2"/>
      <c r="M35" s="1"/>
      <c r="N35" s="4"/>
    </row>
    <row r="36" spans="2:14">
      <c r="B36" s="23">
        <f t="shared" si="0"/>
        <v>25</v>
      </c>
      <c r="C36" s="95"/>
      <c r="D36" s="95"/>
      <c r="E36" s="90"/>
      <c r="F36" s="21" t="s">
        <v>90</v>
      </c>
      <c r="G36" s="31" t="s">
        <v>129</v>
      </c>
      <c r="H36" s="32" t="s">
        <v>147</v>
      </c>
      <c r="I36" s="34" t="s">
        <v>150</v>
      </c>
      <c r="J36" s="5"/>
      <c r="K36" s="11"/>
      <c r="L36" s="2"/>
      <c r="M36" s="1"/>
      <c r="N36" s="4"/>
    </row>
    <row r="37" spans="2:14" ht="24">
      <c r="B37" s="23">
        <f t="shared" si="0"/>
        <v>26</v>
      </c>
      <c r="C37" s="95"/>
      <c r="D37" s="95"/>
      <c r="E37" s="90"/>
      <c r="F37" s="31" t="s">
        <v>132</v>
      </c>
      <c r="G37" s="31" t="s">
        <v>129</v>
      </c>
      <c r="H37" s="32" t="s">
        <v>151</v>
      </c>
      <c r="I37" s="32" t="s">
        <v>81</v>
      </c>
      <c r="J37" s="5"/>
      <c r="K37" s="11"/>
      <c r="L37" s="2"/>
      <c r="M37" s="1"/>
      <c r="N37" s="4"/>
    </row>
    <row r="38" spans="2:14">
      <c r="B38" s="23">
        <f t="shared" si="0"/>
        <v>27</v>
      </c>
      <c r="C38" s="95"/>
      <c r="D38" s="95"/>
      <c r="E38" s="90"/>
      <c r="F38" s="94" t="s">
        <v>10</v>
      </c>
      <c r="G38" s="94" t="s">
        <v>129</v>
      </c>
      <c r="H38" s="32" t="s">
        <v>11</v>
      </c>
      <c r="I38" s="33" t="s">
        <v>134</v>
      </c>
      <c r="J38" s="5"/>
      <c r="K38" s="11"/>
      <c r="L38" s="2"/>
      <c r="M38" s="1"/>
      <c r="N38" s="4"/>
    </row>
    <row r="39" spans="2:14">
      <c r="B39" s="23">
        <f t="shared" si="0"/>
        <v>28</v>
      </c>
      <c r="C39" s="95"/>
      <c r="D39" s="95"/>
      <c r="E39" s="90"/>
      <c r="F39" s="96"/>
      <c r="G39" s="96"/>
      <c r="H39" s="32" t="s">
        <v>11</v>
      </c>
      <c r="I39" s="33" t="s">
        <v>135</v>
      </c>
      <c r="J39" s="5"/>
      <c r="K39" s="11"/>
      <c r="L39" s="2"/>
      <c r="M39" s="1"/>
      <c r="N39" s="4"/>
    </row>
    <row r="40" spans="2:14">
      <c r="B40" s="23">
        <f t="shared" si="0"/>
        <v>29</v>
      </c>
      <c r="C40" s="95"/>
      <c r="D40" s="95"/>
      <c r="E40" s="31" t="s">
        <v>136</v>
      </c>
      <c r="F40" s="31" t="s">
        <v>137</v>
      </c>
      <c r="G40" s="31" t="s">
        <v>129</v>
      </c>
      <c r="H40" s="32" t="s">
        <v>138</v>
      </c>
      <c r="I40" s="33" t="s">
        <v>83</v>
      </c>
      <c r="J40" s="5"/>
      <c r="K40" s="11"/>
      <c r="L40" s="2"/>
      <c r="M40" s="1"/>
      <c r="N40" s="4"/>
    </row>
    <row r="41" spans="2:14">
      <c r="B41" s="23">
        <f t="shared" si="0"/>
        <v>30</v>
      </c>
      <c r="C41" s="95"/>
      <c r="D41" s="95"/>
      <c r="E41" s="94" t="s">
        <v>12</v>
      </c>
      <c r="F41" s="31" t="s">
        <v>139</v>
      </c>
      <c r="G41" s="31" t="s">
        <v>129</v>
      </c>
      <c r="H41" s="32" t="s">
        <v>284</v>
      </c>
      <c r="I41" s="32" t="s">
        <v>140</v>
      </c>
      <c r="J41" s="5"/>
      <c r="K41" s="11"/>
      <c r="L41" s="2"/>
      <c r="M41" s="1"/>
      <c r="N41" s="4"/>
    </row>
    <row r="42" spans="2:14" ht="24">
      <c r="B42" s="23">
        <f t="shared" si="0"/>
        <v>31</v>
      </c>
      <c r="C42" s="95"/>
      <c r="D42" s="95"/>
      <c r="E42" s="95"/>
      <c r="F42" s="97" t="s">
        <v>159</v>
      </c>
      <c r="G42" s="94" t="s">
        <v>129</v>
      </c>
      <c r="H42" s="32" t="s">
        <v>141</v>
      </c>
      <c r="I42" s="33" t="s">
        <v>142</v>
      </c>
      <c r="J42" s="5"/>
      <c r="K42" s="11"/>
      <c r="L42" s="2"/>
      <c r="M42" s="1"/>
      <c r="N42" s="4"/>
    </row>
    <row r="43" spans="2:14" ht="24">
      <c r="B43" s="23">
        <f t="shared" si="0"/>
        <v>32</v>
      </c>
      <c r="C43" s="95"/>
      <c r="D43" s="95"/>
      <c r="E43" s="95"/>
      <c r="F43" s="99"/>
      <c r="G43" s="96"/>
      <c r="H43" s="32" t="s">
        <v>143</v>
      </c>
      <c r="I43" s="33" t="s">
        <v>144</v>
      </c>
      <c r="J43" s="5"/>
      <c r="K43" s="11"/>
      <c r="L43" s="2"/>
      <c r="M43" s="1"/>
      <c r="N43" s="4"/>
    </row>
    <row r="44" spans="2:14">
      <c r="B44" s="23">
        <f t="shared" si="0"/>
        <v>33</v>
      </c>
      <c r="C44" s="95"/>
      <c r="D44" s="95"/>
      <c r="E44" s="95"/>
      <c r="F44" s="89" t="s">
        <v>160</v>
      </c>
      <c r="G44" s="94" t="s">
        <v>129</v>
      </c>
      <c r="H44" s="32" t="s">
        <v>154</v>
      </c>
      <c r="I44" s="33" t="s">
        <v>145</v>
      </c>
      <c r="J44" s="6"/>
      <c r="K44" s="10"/>
      <c r="L44" s="1"/>
      <c r="M44" s="2"/>
      <c r="N44" s="4"/>
    </row>
    <row r="45" spans="2:14">
      <c r="B45" s="23">
        <f t="shared" si="0"/>
        <v>34</v>
      </c>
      <c r="C45" s="95"/>
      <c r="D45" s="95"/>
      <c r="E45" s="95"/>
      <c r="F45" s="91"/>
      <c r="G45" s="96"/>
      <c r="H45" s="32" t="s">
        <v>155</v>
      </c>
      <c r="I45" s="33" t="s">
        <v>145</v>
      </c>
      <c r="J45" s="7"/>
      <c r="K45" s="10"/>
      <c r="L45" s="1"/>
      <c r="M45" s="2"/>
      <c r="N45" s="4"/>
    </row>
    <row r="46" spans="2:14">
      <c r="B46" s="23">
        <f t="shared" si="0"/>
        <v>35</v>
      </c>
      <c r="C46" s="95"/>
      <c r="D46" s="95"/>
      <c r="E46" s="96"/>
      <c r="F46" s="21" t="s">
        <v>161</v>
      </c>
      <c r="G46" s="31" t="s">
        <v>129</v>
      </c>
      <c r="H46" s="32" t="s">
        <v>153</v>
      </c>
      <c r="I46" s="33" t="s">
        <v>146</v>
      </c>
      <c r="J46" s="5"/>
      <c r="K46" s="11"/>
      <c r="L46" s="2"/>
      <c r="M46" s="1"/>
      <c r="N46" s="4"/>
    </row>
    <row r="47" spans="2:14">
      <c r="B47" s="23">
        <f t="shared" si="0"/>
        <v>36</v>
      </c>
      <c r="C47" s="96"/>
      <c r="D47" s="96"/>
      <c r="E47" s="31" t="s">
        <v>158</v>
      </c>
      <c r="F47" s="21" t="s">
        <v>93</v>
      </c>
      <c r="G47" s="31" t="s">
        <v>129</v>
      </c>
      <c r="H47" s="32" t="s">
        <v>156</v>
      </c>
      <c r="I47" s="34" t="s">
        <v>157</v>
      </c>
      <c r="J47" s="5"/>
      <c r="K47" s="11"/>
      <c r="L47" s="2"/>
      <c r="M47" s="1"/>
      <c r="N47" s="4"/>
    </row>
    <row r="48" spans="2:14">
      <c r="B48" s="23">
        <f t="shared" si="0"/>
        <v>37</v>
      </c>
      <c r="C48" s="85" t="s">
        <v>162</v>
      </c>
      <c r="D48" s="85" t="s">
        <v>163</v>
      </c>
      <c r="E48" s="89" t="s">
        <v>9</v>
      </c>
      <c r="F48" s="21" t="s">
        <v>93</v>
      </c>
      <c r="G48" s="16" t="s">
        <v>164</v>
      </c>
      <c r="H48" s="32" t="s">
        <v>285</v>
      </c>
      <c r="I48" s="35" t="s">
        <v>165</v>
      </c>
      <c r="J48" s="8"/>
      <c r="K48" s="10"/>
      <c r="L48" s="1"/>
      <c r="M48" s="1"/>
      <c r="N48" s="4"/>
    </row>
    <row r="49" spans="2:14" ht="36">
      <c r="B49" s="23">
        <f t="shared" si="0"/>
        <v>38</v>
      </c>
      <c r="C49" s="85"/>
      <c r="D49" s="85"/>
      <c r="E49" s="90"/>
      <c r="F49" s="16" t="s">
        <v>128</v>
      </c>
      <c r="G49" s="16" t="s">
        <v>166</v>
      </c>
      <c r="H49" s="32" t="s">
        <v>130</v>
      </c>
      <c r="I49" s="35" t="s">
        <v>167</v>
      </c>
      <c r="J49" s="8"/>
      <c r="K49" s="10"/>
      <c r="L49" s="1"/>
      <c r="M49" s="1"/>
      <c r="N49" s="4"/>
    </row>
    <row r="50" spans="2:14">
      <c r="B50" s="23">
        <f t="shared" si="0"/>
        <v>39</v>
      </c>
      <c r="C50" s="85"/>
      <c r="D50" s="85"/>
      <c r="E50" s="90"/>
      <c r="F50" s="85" t="s">
        <v>13</v>
      </c>
      <c r="G50" s="86" t="s">
        <v>166</v>
      </c>
      <c r="H50" s="32" t="s">
        <v>168</v>
      </c>
      <c r="I50" s="34" t="s">
        <v>191</v>
      </c>
      <c r="J50" s="8"/>
      <c r="K50" s="10"/>
      <c r="L50" s="1"/>
      <c r="M50" s="1"/>
      <c r="N50" s="4"/>
    </row>
    <row r="51" spans="2:14">
      <c r="B51" s="23">
        <f t="shared" si="0"/>
        <v>40</v>
      </c>
      <c r="C51" s="85"/>
      <c r="D51" s="85"/>
      <c r="E51" s="90"/>
      <c r="F51" s="85"/>
      <c r="G51" s="88"/>
      <c r="H51" s="32" t="s">
        <v>168</v>
      </c>
      <c r="I51" s="35" t="s">
        <v>169</v>
      </c>
      <c r="J51" s="8"/>
      <c r="K51" s="10"/>
      <c r="L51" s="1"/>
      <c r="M51" s="1"/>
      <c r="N51" s="4"/>
    </row>
    <row r="52" spans="2:14">
      <c r="B52" s="23">
        <f t="shared" si="0"/>
        <v>41</v>
      </c>
      <c r="C52" s="85"/>
      <c r="D52" s="85"/>
      <c r="E52" s="90"/>
      <c r="F52" s="85" t="s">
        <v>170</v>
      </c>
      <c r="G52" s="86" t="s">
        <v>166</v>
      </c>
      <c r="H52" s="32" t="s">
        <v>171</v>
      </c>
      <c r="I52" s="35" t="s">
        <v>134</v>
      </c>
      <c r="J52" s="8"/>
      <c r="K52" s="10"/>
      <c r="L52" s="1"/>
      <c r="M52" s="1"/>
      <c r="N52" s="4"/>
    </row>
    <row r="53" spans="2:14">
      <c r="B53" s="23">
        <f t="shared" si="0"/>
        <v>42</v>
      </c>
      <c r="C53" s="85"/>
      <c r="D53" s="85"/>
      <c r="E53" s="90"/>
      <c r="F53" s="85"/>
      <c r="G53" s="88"/>
      <c r="H53" s="32" t="s">
        <v>172</v>
      </c>
      <c r="I53" s="35" t="s">
        <v>173</v>
      </c>
      <c r="J53" s="8"/>
      <c r="K53" s="10"/>
      <c r="L53" s="1"/>
      <c r="M53" s="1"/>
      <c r="N53" s="4"/>
    </row>
    <row r="54" spans="2:14">
      <c r="B54" s="23">
        <f t="shared" si="0"/>
        <v>43</v>
      </c>
      <c r="C54" s="85"/>
      <c r="D54" s="85"/>
      <c r="E54" s="90"/>
      <c r="F54" s="16" t="s">
        <v>14</v>
      </c>
      <c r="G54" s="16" t="s">
        <v>166</v>
      </c>
      <c r="H54" s="32" t="s">
        <v>15</v>
      </c>
      <c r="I54" s="35" t="s">
        <v>174</v>
      </c>
      <c r="J54" s="8"/>
      <c r="K54" s="10"/>
      <c r="L54" s="1"/>
      <c r="M54" s="1"/>
      <c r="N54" s="4"/>
    </row>
    <row r="55" spans="2:14">
      <c r="B55" s="23">
        <f t="shared" si="0"/>
        <v>44</v>
      </c>
      <c r="C55" s="85"/>
      <c r="D55" s="85"/>
      <c r="E55" s="91"/>
      <c r="F55" s="16" t="s">
        <v>175</v>
      </c>
      <c r="G55" s="16" t="s">
        <v>166</v>
      </c>
      <c r="H55" s="32" t="s">
        <v>176</v>
      </c>
      <c r="I55" s="32" t="s">
        <v>177</v>
      </c>
      <c r="J55" s="8"/>
      <c r="K55" s="10"/>
      <c r="L55" s="1"/>
      <c r="M55" s="1"/>
      <c r="N55" s="4"/>
    </row>
    <row r="56" spans="2:14">
      <c r="B56" s="23">
        <f t="shared" si="0"/>
        <v>45</v>
      </c>
      <c r="C56" s="85"/>
      <c r="D56" s="85"/>
      <c r="E56" s="16" t="s">
        <v>178</v>
      </c>
      <c r="F56" s="16" t="s">
        <v>179</v>
      </c>
      <c r="G56" s="16" t="s">
        <v>166</v>
      </c>
      <c r="H56" s="32" t="s">
        <v>286</v>
      </c>
      <c r="I56" s="34" t="s">
        <v>193</v>
      </c>
      <c r="J56" s="8"/>
      <c r="K56" s="10"/>
      <c r="L56" s="1"/>
      <c r="M56" s="1"/>
      <c r="N56" s="4"/>
    </row>
    <row r="57" spans="2:14">
      <c r="B57" s="23">
        <f t="shared" si="0"/>
        <v>46</v>
      </c>
      <c r="C57" s="85"/>
      <c r="D57" s="85"/>
      <c r="E57" s="85" t="s">
        <v>180</v>
      </c>
      <c r="F57" s="16" t="s">
        <v>16</v>
      </c>
      <c r="G57" s="16" t="s">
        <v>17</v>
      </c>
      <c r="H57" s="32" t="s">
        <v>287</v>
      </c>
      <c r="I57" s="35" t="s">
        <v>181</v>
      </c>
      <c r="J57" s="8"/>
      <c r="K57" s="10"/>
      <c r="L57" s="1"/>
      <c r="M57" s="1"/>
      <c r="N57" s="4"/>
    </row>
    <row r="58" spans="2:14">
      <c r="B58" s="23">
        <f t="shared" si="0"/>
        <v>47</v>
      </c>
      <c r="C58" s="85"/>
      <c r="D58" s="85"/>
      <c r="E58" s="85"/>
      <c r="F58" s="16" t="s">
        <v>18</v>
      </c>
      <c r="G58" s="16" t="s">
        <v>19</v>
      </c>
      <c r="H58" s="32" t="s">
        <v>288</v>
      </c>
      <c r="I58" s="35" t="s">
        <v>182</v>
      </c>
      <c r="J58" s="8"/>
      <c r="K58" s="10"/>
      <c r="L58" s="1"/>
      <c r="M58" s="1"/>
      <c r="N58" s="4"/>
    </row>
    <row r="59" spans="2:14">
      <c r="B59" s="23">
        <f t="shared" si="0"/>
        <v>48</v>
      </c>
      <c r="C59" s="85"/>
      <c r="D59" s="85"/>
      <c r="E59" s="85"/>
      <c r="F59" s="16" t="s">
        <v>20</v>
      </c>
      <c r="G59" s="16" t="s">
        <v>17</v>
      </c>
      <c r="H59" s="32" t="s">
        <v>289</v>
      </c>
      <c r="I59" s="32" t="s">
        <v>194</v>
      </c>
      <c r="J59" s="8"/>
      <c r="K59" s="10"/>
      <c r="L59" s="1"/>
      <c r="M59" s="1"/>
      <c r="N59" s="4"/>
    </row>
    <row r="60" spans="2:14">
      <c r="B60" s="23">
        <f t="shared" si="0"/>
        <v>49</v>
      </c>
      <c r="C60" s="85"/>
      <c r="D60" s="85"/>
      <c r="E60" s="85"/>
      <c r="F60" s="16" t="s">
        <v>21</v>
      </c>
      <c r="G60" s="16" t="s">
        <v>22</v>
      </c>
      <c r="H60" s="32" t="s">
        <v>290</v>
      </c>
      <c r="I60" s="34" t="s">
        <v>195</v>
      </c>
      <c r="J60" s="8"/>
      <c r="K60" s="10"/>
      <c r="L60" s="1"/>
      <c r="M60" s="1"/>
      <c r="N60" s="4"/>
    </row>
    <row r="61" spans="2:14">
      <c r="B61" s="23">
        <f t="shared" si="0"/>
        <v>50</v>
      </c>
      <c r="C61" s="85"/>
      <c r="D61" s="85"/>
      <c r="E61" s="85" t="s">
        <v>23</v>
      </c>
      <c r="F61" s="16" t="s">
        <v>183</v>
      </c>
      <c r="G61" s="16" t="s">
        <v>166</v>
      </c>
      <c r="H61" s="32" t="s">
        <v>291</v>
      </c>
      <c r="I61" s="34" t="s">
        <v>228</v>
      </c>
      <c r="J61" s="8"/>
      <c r="K61" s="10"/>
      <c r="L61" s="1"/>
      <c r="M61" s="1"/>
      <c r="N61" s="4"/>
    </row>
    <row r="62" spans="2:14" ht="24">
      <c r="B62" s="23">
        <f t="shared" si="0"/>
        <v>51</v>
      </c>
      <c r="C62" s="85"/>
      <c r="D62" s="85"/>
      <c r="E62" s="85"/>
      <c r="F62" s="16" t="s">
        <v>184</v>
      </c>
      <c r="G62" s="16" t="s">
        <v>185</v>
      </c>
      <c r="H62" s="32" t="s">
        <v>292</v>
      </c>
      <c r="I62" s="35" t="s">
        <v>186</v>
      </c>
      <c r="J62" s="8"/>
      <c r="K62" s="10"/>
      <c r="L62" s="1"/>
      <c r="M62" s="1"/>
      <c r="N62" s="4"/>
    </row>
    <row r="63" spans="2:14" ht="24">
      <c r="B63" s="23">
        <f t="shared" si="0"/>
        <v>52</v>
      </c>
      <c r="C63" s="85"/>
      <c r="D63" s="85"/>
      <c r="E63" s="21" t="s">
        <v>198</v>
      </c>
      <c r="F63" s="16" t="s">
        <v>30</v>
      </c>
      <c r="G63" s="20" t="s">
        <v>196</v>
      </c>
      <c r="H63" s="32" t="s">
        <v>188</v>
      </c>
      <c r="I63" s="34" t="s">
        <v>197</v>
      </c>
      <c r="J63" s="8"/>
      <c r="K63" s="10"/>
      <c r="L63" s="1"/>
      <c r="M63" s="1"/>
      <c r="N63" s="4"/>
    </row>
    <row r="64" spans="2:14">
      <c r="B64" s="23">
        <f t="shared" si="0"/>
        <v>53</v>
      </c>
      <c r="C64" s="85"/>
      <c r="D64" s="85"/>
      <c r="E64" s="16" t="s">
        <v>189</v>
      </c>
      <c r="F64" s="16" t="s">
        <v>24</v>
      </c>
      <c r="G64" s="16" t="s">
        <v>166</v>
      </c>
      <c r="H64" s="32" t="s">
        <v>293</v>
      </c>
      <c r="I64" s="35" t="s">
        <v>190</v>
      </c>
      <c r="J64" s="8"/>
      <c r="K64" s="10"/>
      <c r="L64" s="1"/>
      <c r="M64" s="1"/>
      <c r="N64" s="4"/>
    </row>
    <row r="65" spans="2:14">
      <c r="B65" s="23">
        <f t="shared" si="0"/>
        <v>54</v>
      </c>
      <c r="C65" s="85"/>
      <c r="D65" s="85"/>
      <c r="E65" s="16" t="s">
        <v>6</v>
      </c>
      <c r="F65" s="16" t="s">
        <v>294</v>
      </c>
      <c r="G65" s="16" t="s">
        <v>166</v>
      </c>
      <c r="H65" s="32" t="s">
        <v>295</v>
      </c>
      <c r="I65" s="35" t="s">
        <v>296</v>
      </c>
      <c r="J65" s="8"/>
      <c r="K65" s="10"/>
      <c r="L65" s="1"/>
      <c r="M65" s="1"/>
      <c r="N65" s="4"/>
    </row>
    <row r="66" spans="2:14">
      <c r="B66" s="23">
        <f t="shared" si="0"/>
        <v>55</v>
      </c>
      <c r="C66" s="85" t="s">
        <v>25</v>
      </c>
      <c r="D66" s="85" t="s">
        <v>199</v>
      </c>
      <c r="E66" s="89" t="s">
        <v>9</v>
      </c>
      <c r="F66" s="16" t="s">
        <v>200</v>
      </c>
      <c r="G66" s="16" t="s">
        <v>201</v>
      </c>
      <c r="H66" s="32" t="s">
        <v>297</v>
      </c>
      <c r="I66" s="35" t="s">
        <v>202</v>
      </c>
      <c r="J66" s="8"/>
      <c r="K66" s="10"/>
      <c r="L66" s="1"/>
      <c r="M66" s="1"/>
      <c r="N66" s="4"/>
    </row>
    <row r="67" spans="2:14" ht="36">
      <c r="B67" s="23">
        <f t="shared" si="0"/>
        <v>56</v>
      </c>
      <c r="C67" s="85"/>
      <c r="D67" s="85"/>
      <c r="E67" s="90"/>
      <c r="F67" s="16" t="s">
        <v>128</v>
      </c>
      <c r="G67" s="16" t="s">
        <v>203</v>
      </c>
      <c r="H67" s="32" t="s">
        <v>130</v>
      </c>
      <c r="I67" s="35" t="s">
        <v>167</v>
      </c>
      <c r="J67" s="8"/>
      <c r="K67" s="10"/>
      <c r="L67" s="1"/>
      <c r="M67" s="1"/>
      <c r="N67" s="4"/>
    </row>
    <row r="68" spans="2:14" ht="24">
      <c r="B68" s="23">
        <f t="shared" si="0"/>
        <v>57</v>
      </c>
      <c r="C68" s="85"/>
      <c r="D68" s="85"/>
      <c r="E68" s="90"/>
      <c r="F68" s="16" t="s">
        <v>132</v>
      </c>
      <c r="G68" s="16" t="s">
        <v>203</v>
      </c>
      <c r="H68" s="32" t="s">
        <v>133</v>
      </c>
      <c r="I68" s="32" t="s">
        <v>204</v>
      </c>
      <c r="J68" s="8"/>
      <c r="K68" s="10"/>
      <c r="L68" s="1"/>
      <c r="M68" s="1"/>
      <c r="N68" s="4"/>
    </row>
    <row r="69" spans="2:14">
      <c r="B69" s="23">
        <f t="shared" si="0"/>
        <v>58</v>
      </c>
      <c r="C69" s="85"/>
      <c r="D69" s="85"/>
      <c r="E69" s="90"/>
      <c r="F69" s="85" t="s">
        <v>205</v>
      </c>
      <c r="G69" s="86" t="s">
        <v>203</v>
      </c>
      <c r="H69" s="32" t="s">
        <v>206</v>
      </c>
      <c r="I69" s="34" t="s">
        <v>229</v>
      </c>
      <c r="J69" s="8"/>
      <c r="K69" s="10"/>
      <c r="L69" s="1"/>
      <c r="M69" s="1"/>
      <c r="N69" s="4"/>
    </row>
    <row r="70" spans="2:14">
      <c r="B70" s="23">
        <f t="shared" si="0"/>
        <v>59</v>
      </c>
      <c r="C70" s="85"/>
      <c r="D70" s="85"/>
      <c r="E70" s="90"/>
      <c r="F70" s="85"/>
      <c r="G70" s="88"/>
      <c r="H70" s="32" t="s">
        <v>207</v>
      </c>
      <c r="I70" s="35" t="s">
        <v>208</v>
      </c>
      <c r="J70" s="8"/>
      <c r="K70" s="10"/>
      <c r="L70" s="1"/>
      <c r="M70" s="1"/>
      <c r="N70" s="4"/>
    </row>
    <row r="71" spans="2:14">
      <c r="B71" s="23">
        <f t="shared" si="0"/>
        <v>60</v>
      </c>
      <c r="C71" s="85"/>
      <c r="D71" s="85"/>
      <c r="E71" s="91"/>
      <c r="F71" s="16" t="s">
        <v>209</v>
      </c>
      <c r="G71" s="16" t="s">
        <v>203</v>
      </c>
      <c r="H71" s="32" t="s">
        <v>210</v>
      </c>
      <c r="I71" s="32" t="s">
        <v>230</v>
      </c>
      <c r="J71" s="8"/>
      <c r="K71" s="10"/>
      <c r="L71" s="1"/>
      <c r="M71" s="1"/>
      <c r="N71" s="4"/>
    </row>
    <row r="72" spans="2:14">
      <c r="B72" s="23">
        <f t="shared" si="0"/>
        <v>61</v>
      </c>
      <c r="C72" s="85"/>
      <c r="D72" s="85"/>
      <c r="E72" s="85" t="s">
        <v>26</v>
      </c>
      <c r="F72" s="16" t="s">
        <v>27</v>
      </c>
      <c r="G72" s="16" t="s">
        <v>28</v>
      </c>
      <c r="H72" s="32" t="s">
        <v>29</v>
      </c>
      <c r="I72" s="35" t="s">
        <v>211</v>
      </c>
      <c r="J72" s="8"/>
      <c r="K72" s="10"/>
      <c r="L72" s="1"/>
      <c r="M72" s="1"/>
      <c r="N72" s="4"/>
    </row>
    <row r="73" spans="2:14">
      <c r="B73" s="23">
        <f t="shared" si="0"/>
        <v>62</v>
      </c>
      <c r="C73" s="85"/>
      <c r="D73" s="85"/>
      <c r="E73" s="85"/>
      <c r="F73" s="16" t="s">
        <v>32</v>
      </c>
      <c r="G73" s="16" t="s">
        <v>212</v>
      </c>
      <c r="H73" s="32" t="s">
        <v>29</v>
      </c>
      <c r="I73" s="35" t="s">
        <v>213</v>
      </c>
      <c r="J73" s="8"/>
      <c r="K73" s="10"/>
      <c r="L73" s="1"/>
      <c r="M73" s="1"/>
      <c r="N73" s="4"/>
    </row>
    <row r="74" spans="2:14">
      <c r="B74" s="23">
        <f t="shared" si="0"/>
        <v>63</v>
      </c>
      <c r="C74" s="85"/>
      <c r="D74" s="85"/>
      <c r="E74" s="85" t="s">
        <v>198</v>
      </c>
      <c r="F74" s="16" t="s">
        <v>30</v>
      </c>
      <c r="G74" s="16" t="s">
        <v>187</v>
      </c>
      <c r="H74" s="32" t="s">
        <v>233</v>
      </c>
      <c r="I74" s="35" t="s">
        <v>231</v>
      </c>
      <c r="J74" s="8"/>
      <c r="K74" s="10"/>
      <c r="L74" s="1"/>
      <c r="M74" s="1"/>
      <c r="N74" s="4"/>
    </row>
    <row r="75" spans="2:14" ht="24">
      <c r="B75" s="23">
        <f t="shared" si="0"/>
        <v>64</v>
      </c>
      <c r="C75" s="85"/>
      <c r="D75" s="85"/>
      <c r="E75" s="85"/>
      <c r="F75" s="16" t="s">
        <v>31</v>
      </c>
      <c r="G75" s="16" t="s">
        <v>214</v>
      </c>
      <c r="H75" s="32" t="s">
        <v>234</v>
      </c>
      <c r="I75" s="35" t="s">
        <v>232</v>
      </c>
      <c r="J75" s="8"/>
      <c r="K75" s="10"/>
      <c r="L75" s="1"/>
      <c r="M75" s="1"/>
      <c r="N75" s="4"/>
    </row>
    <row r="76" spans="2:14">
      <c r="B76" s="23">
        <f t="shared" si="0"/>
        <v>65</v>
      </c>
      <c r="C76" s="85"/>
      <c r="D76" s="85"/>
      <c r="E76" s="85"/>
      <c r="F76" s="16" t="s">
        <v>215</v>
      </c>
      <c r="G76" s="16" t="s">
        <v>216</v>
      </c>
      <c r="H76" s="32" t="s">
        <v>298</v>
      </c>
      <c r="I76" s="34" t="s">
        <v>235</v>
      </c>
      <c r="J76" s="8"/>
      <c r="K76" s="10"/>
      <c r="L76" s="1"/>
      <c r="M76" s="1"/>
      <c r="N76" s="4"/>
    </row>
    <row r="77" spans="2:14">
      <c r="B77" s="23">
        <f t="shared" ref="B77:B111" si="1">ROW()-11</f>
        <v>66</v>
      </c>
      <c r="C77" s="85"/>
      <c r="D77" s="85"/>
      <c r="E77" s="85" t="s">
        <v>33</v>
      </c>
      <c r="F77" s="16" t="s">
        <v>217</v>
      </c>
      <c r="G77" s="16" t="s">
        <v>216</v>
      </c>
      <c r="H77" s="32" t="s">
        <v>299</v>
      </c>
      <c r="I77" s="34" t="s">
        <v>236</v>
      </c>
      <c r="J77" s="8"/>
      <c r="K77" s="10"/>
      <c r="L77" s="1"/>
      <c r="M77" s="1"/>
      <c r="N77" s="4"/>
    </row>
    <row r="78" spans="2:14">
      <c r="B78" s="23">
        <f t="shared" si="1"/>
        <v>67</v>
      </c>
      <c r="C78" s="85"/>
      <c r="D78" s="85"/>
      <c r="E78" s="85"/>
      <c r="F78" s="16" t="s">
        <v>218</v>
      </c>
      <c r="G78" s="16" t="s">
        <v>219</v>
      </c>
      <c r="H78" s="32" t="s">
        <v>300</v>
      </c>
      <c r="I78" s="35" t="s">
        <v>220</v>
      </c>
      <c r="J78" s="8"/>
      <c r="K78" s="10"/>
      <c r="L78" s="1"/>
      <c r="M78" s="1"/>
      <c r="N78" s="4"/>
    </row>
    <row r="79" spans="2:14">
      <c r="B79" s="23">
        <f t="shared" si="1"/>
        <v>68</v>
      </c>
      <c r="C79" s="85"/>
      <c r="D79" s="85"/>
      <c r="E79" s="85"/>
      <c r="F79" s="16" t="s">
        <v>221</v>
      </c>
      <c r="G79" s="16" t="s">
        <v>17</v>
      </c>
      <c r="H79" s="32" t="s">
        <v>289</v>
      </c>
      <c r="I79" s="32" t="s">
        <v>237</v>
      </c>
      <c r="J79" s="8"/>
      <c r="K79" s="10"/>
      <c r="L79" s="1"/>
      <c r="M79" s="1"/>
      <c r="N79" s="4"/>
    </row>
    <row r="80" spans="2:14">
      <c r="B80" s="23">
        <f t="shared" si="1"/>
        <v>69</v>
      </c>
      <c r="C80" s="85"/>
      <c r="D80" s="85"/>
      <c r="E80" s="86" t="s">
        <v>34</v>
      </c>
      <c r="F80" s="16" t="s">
        <v>35</v>
      </c>
      <c r="G80" s="16" t="s">
        <v>222</v>
      </c>
      <c r="H80" s="32" t="s">
        <v>301</v>
      </c>
      <c r="I80" s="34" t="s">
        <v>238</v>
      </c>
      <c r="J80" s="8"/>
      <c r="K80" s="10"/>
      <c r="L80" s="1"/>
      <c r="M80" s="1"/>
      <c r="N80" s="4"/>
    </row>
    <row r="81" spans="2:14">
      <c r="B81" s="23">
        <f t="shared" si="1"/>
        <v>70</v>
      </c>
      <c r="C81" s="85"/>
      <c r="D81" s="85"/>
      <c r="E81" s="87"/>
      <c r="F81" s="86" t="s">
        <v>223</v>
      </c>
      <c r="G81" s="16" t="s">
        <v>224</v>
      </c>
      <c r="H81" s="32" t="s">
        <v>225</v>
      </c>
      <c r="I81" s="35" t="s">
        <v>226</v>
      </c>
      <c r="J81" s="8"/>
      <c r="K81" s="10"/>
      <c r="L81" s="1"/>
      <c r="M81" s="1"/>
      <c r="N81" s="4"/>
    </row>
    <row r="82" spans="2:14" ht="60">
      <c r="B82" s="23">
        <f t="shared" si="1"/>
        <v>71</v>
      </c>
      <c r="C82" s="85"/>
      <c r="D82" s="85"/>
      <c r="E82" s="88"/>
      <c r="F82" s="88"/>
      <c r="G82" s="16" t="s">
        <v>224</v>
      </c>
      <c r="H82" s="32" t="s">
        <v>225</v>
      </c>
      <c r="I82" s="35" t="s">
        <v>239</v>
      </c>
      <c r="J82" s="8"/>
      <c r="K82" s="10"/>
      <c r="L82" s="1"/>
      <c r="M82" s="1"/>
      <c r="N82" s="4"/>
    </row>
    <row r="83" spans="2:14">
      <c r="B83" s="23">
        <f t="shared" si="1"/>
        <v>72</v>
      </c>
      <c r="C83" s="85"/>
      <c r="D83" s="85"/>
      <c r="E83" s="20" t="s">
        <v>240</v>
      </c>
      <c r="F83" s="16" t="s">
        <v>227</v>
      </c>
      <c r="G83" s="16" t="s">
        <v>216</v>
      </c>
      <c r="H83" s="32" t="s">
        <v>241</v>
      </c>
      <c r="I83" s="34" t="s">
        <v>242</v>
      </c>
      <c r="J83" s="8"/>
      <c r="K83" s="10"/>
      <c r="L83" s="1"/>
      <c r="M83" s="1"/>
      <c r="N83" s="4"/>
    </row>
    <row r="84" spans="2:14">
      <c r="B84" s="23">
        <f t="shared" si="1"/>
        <v>73</v>
      </c>
      <c r="C84" s="85"/>
      <c r="D84" s="85"/>
      <c r="E84" s="16" t="s">
        <v>6</v>
      </c>
      <c r="F84" s="16" t="s">
        <v>302</v>
      </c>
      <c r="G84" s="16" t="s">
        <v>216</v>
      </c>
      <c r="H84" s="32" t="s">
        <v>303</v>
      </c>
      <c r="I84" s="35" t="s">
        <v>304</v>
      </c>
      <c r="J84" s="8"/>
      <c r="K84" s="10"/>
      <c r="L84" s="1"/>
      <c r="M84" s="1"/>
      <c r="N84" s="4"/>
    </row>
    <row r="85" spans="2:14">
      <c r="B85" s="23">
        <f t="shared" si="1"/>
        <v>74</v>
      </c>
      <c r="C85" s="85" t="s">
        <v>36</v>
      </c>
      <c r="D85" s="85" t="s">
        <v>243</v>
      </c>
      <c r="E85" s="89" t="s">
        <v>9</v>
      </c>
      <c r="F85" s="21" t="s">
        <v>38</v>
      </c>
      <c r="G85" s="16" t="s">
        <v>244</v>
      </c>
      <c r="H85" s="32" t="s">
        <v>279</v>
      </c>
      <c r="I85" s="35" t="s">
        <v>245</v>
      </c>
      <c r="J85" s="8"/>
      <c r="K85" s="10"/>
      <c r="L85" s="1"/>
      <c r="M85" s="1"/>
      <c r="N85" s="4"/>
    </row>
    <row r="86" spans="2:14">
      <c r="B86" s="23">
        <f t="shared" si="1"/>
        <v>75</v>
      </c>
      <c r="C86" s="85"/>
      <c r="D86" s="85"/>
      <c r="E86" s="90"/>
      <c r="F86" s="92" t="s">
        <v>308</v>
      </c>
      <c r="G86" s="93" t="s">
        <v>309</v>
      </c>
      <c r="H86" s="32" t="s">
        <v>39</v>
      </c>
      <c r="I86" s="36" t="s">
        <v>310</v>
      </c>
      <c r="J86" s="8"/>
      <c r="K86" s="10"/>
      <c r="L86" s="1"/>
      <c r="M86" s="1"/>
      <c r="N86" s="4"/>
    </row>
    <row r="87" spans="2:14" ht="24">
      <c r="B87" s="23">
        <f t="shared" si="1"/>
        <v>76</v>
      </c>
      <c r="C87" s="85"/>
      <c r="D87" s="85"/>
      <c r="E87" s="91"/>
      <c r="F87" s="93"/>
      <c r="G87" s="93"/>
      <c r="H87" s="32" t="s">
        <v>246</v>
      </c>
      <c r="I87" s="32" t="s">
        <v>311</v>
      </c>
      <c r="J87" s="8"/>
      <c r="K87" s="10"/>
      <c r="L87" s="1"/>
      <c r="M87" s="1"/>
      <c r="N87" s="4"/>
    </row>
    <row r="88" spans="2:14" ht="24">
      <c r="B88" s="23">
        <f t="shared" si="1"/>
        <v>77</v>
      </c>
      <c r="C88" s="85"/>
      <c r="D88" s="85"/>
      <c r="E88" s="85" t="s">
        <v>37</v>
      </c>
      <c r="F88" s="16" t="s">
        <v>41</v>
      </c>
      <c r="G88" s="16" t="s">
        <v>40</v>
      </c>
      <c r="H88" s="32" t="s">
        <v>313</v>
      </c>
      <c r="I88" s="34" t="s">
        <v>312</v>
      </c>
      <c r="J88" s="8"/>
      <c r="K88" s="10"/>
      <c r="L88" s="1"/>
      <c r="M88" s="1"/>
      <c r="N88" s="4"/>
    </row>
    <row r="89" spans="2:14">
      <c r="B89" s="23">
        <f t="shared" si="1"/>
        <v>78</v>
      </c>
      <c r="C89" s="85"/>
      <c r="D89" s="85"/>
      <c r="E89" s="85"/>
      <c r="F89" s="89" t="s">
        <v>314</v>
      </c>
      <c r="G89" s="86" t="s">
        <v>40</v>
      </c>
      <c r="H89" s="32" t="s">
        <v>305</v>
      </c>
      <c r="I89" s="35" t="s">
        <v>247</v>
      </c>
      <c r="J89" s="8"/>
      <c r="K89" s="10"/>
      <c r="L89" s="1"/>
      <c r="M89" s="1"/>
      <c r="N89" s="4"/>
    </row>
    <row r="90" spans="2:14">
      <c r="B90" s="23">
        <f t="shared" si="1"/>
        <v>79</v>
      </c>
      <c r="C90" s="85"/>
      <c r="D90" s="85"/>
      <c r="E90" s="85"/>
      <c r="F90" s="91"/>
      <c r="G90" s="88"/>
      <c r="H90" s="32" t="s">
        <v>305</v>
      </c>
      <c r="I90" s="34" t="s">
        <v>315</v>
      </c>
      <c r="J90" s="8"/>
      <c r="K90" s="10"/>
      <c r="L90" s="1"/>
      <c r="M90" s="1"/>
      <c r="N90" s="4"/>
    </row>
    <row r="91" spans="2:14">
      <c r="B91" s="23">
        <f t="shared" si="1"/>
        <v>80</v>
      </c>
      <c r="C91" s="85"/>
      <c r="D91" s="85"/>
      <c r="E91" s="85"/>
      <c r="F91" s="16" t="s">
        <v>42</v>
      </c>
      <c r="G91" s="16" t="s">
        <v>40</v>
      </c>
      <c r="H91" s="32" t="s">
        <v>43</v>
      </c>
      <c r="I91" s="35" t="s">
        <v>248</v>
      </c>
      <c r="J91" s="8"/>
      <c r="K91" s="10"/>
      <c r="L91" s="1"/>
      <c r="M91" s="1"/>
      <c r="N91" s="4"/>
    </row>
    <row r="92" spans="2:14" ht="24">
      <c r="B92" s="23">
        <f t="shared" si="1"/>
        <v>81</v>
      </c>
      <c r="C92" s="85"/>
      <c r="D92" s="85"/>
      <c r="E92" s="21" t="s">
        <v>9</v>
      </c>
      <c r="F92" s="16" t="s">
        <v>249</v>
      </c>
      <c r="G92" s="21" t="s">
        <v>250</v>
      </c>
      <c r="H92" s="32" t="s">
        <v>251</v>
      </c>
      <c r="I92" s="32" t="s">
        <v>316</v>
      </c>
      <c r="J92" s="8"/>
      <c r="K92" s="10"/>
      <c r="L92" s="1"/>
      <c r="M92" s="1"/>
      <c r="N92" s="4"/>
    </row>
    <row r="93" spans="2:14" ht="24">
      <c r="B93" s="23">
        <f t="shared" si="1"/>
        <v>82</v>
      </c>
      <c r="C93" s="85"/>
      <c r="D93" s="85"/>
      <c r="E93" s="85" t="s">
        <v>44</v>
      </c>
      <c r="F93" s="16" t="s">
        <v>41</v>
      </c>
      <c r="G93" s="16" t="s">
        <v>46</v>
      </c>
      <c r="H93" s="32" t="s">
        <v>317</v>
      </c>
      <c r="I93" s="35" t="s">
        <v>252</v>
      </c>
      <c r="J93" s="8"/>
      <c r="K93" s="10"/>
      <c r="L93" s="1"/>
      <c r="M93" s="1"/>
      <c r="N93" s="4"/>
    </row>
    <row r="94" spans="2:14">
      <c r="B94" s="23">
        <f t="shared" si="1"/>
        <v>83</v>
      </c>
      <c r="C94" s="85"/>
      <c r="D94" s="85"/>
      <c r="E94" s="85"/>
      <c r="F94" s="16" t="s">
        <v>45</v>
      </c>
      <c r="G94" s="16" t="s">
        <v>46</v>
      </c>
      <c r="H94" s="32" t="s">
        <v>47</v>
      </c>
      <c r="I94" s="35" t="s">
        <v>253</v>
      </c>
      <c r="J94" s="8"/>
      <c r="K94" s="10"/>
      <c r="L94" s="1"/>
      <c r="M94" s="1"/>
      <c r="N94" s="4"/>
    </row>
    <row r="95" spans="2:14">
      <c r="B95" s="23">
        <f t="shared" si="1"/>
        <v>84</v>
      </c>
      <c r="C95" s="85"/>
      <c r="D95" s="85"/>
      <c r="E95" s="85"/>
      <c r="F95" s="16" t="s">
        <v>48</v>
      </c>
      <c r="G95" s="16" t="s">
        <v>46</v>
      </c>
      <c r="H95" s="32" t="s">
        <v>49</v>
      </c>
      <c r="I95" s="32" t="s">
        <v>254</v>
      </c>
      <c r="J95" s="8"/>
      <c r="K95" s="10"/>
      <c r="L95" s="1"/>
      <c r="M95" s="1"/>
      <c r="N95" s="4"/>
    </row>
    <row r="96" spans="2:14">
      <c r="B96" s="23">
        <f t="shared" si="1"/>
        <v>85</v>
      </c>
      <c r="C96" s="85"/>
      <c r="D96" s="85"/>
      <c r="E96" s="85"/>
      <c r="F96" s="16" t="s">
        <v>255</v>
      </c>
      <c r="G96" s="16" t="s">
        <v>46</v>
      </c>
      <c r="H96" s="32" t="s">
        <v>256</v>
      </c>
      <c r="I96" s="35" t="s">
        <v>257</v>
      </c>
      <c r="J96" s="8"/>
      <c r="K96" s="10"/>
      <c r="L96" s="1"/>
      <c r="M96" s="1"/>
      <c r="N96" s="4"/>
    </row>
    <row r="97" spans="2:14">
      <c r="B97" s="23">
        <f t="shared" si="1"/>
        <v>86</v>
      </c>
      <c r="C97" s="85"/>
      <c r="D97" s="85"/>
      <c r="E97" s="85" t="s">
        <v>258</v>
      </c>
      <c r="F97" s="16" t="s">
        <v>259</v>
      </c>
      <c r="G97" s="21" t="s">
        <v>260</v>
      </c>
      <c r="H97" s="32" t="s">
        <v>261</v>
      </c>
      <c r="I97" s="35" t="s">
        <v>262</v>
      </c>
      <c r="J97" s="8"/>
      <c r="K97" s="10"/>
      <c r="L97" s="1"/>
      <c r="M97" s="1"/>
      <c r="N97" s="4"/>
    </row>
    <row r="98" spans="2:14">
      <c r="B98" s="23">
        <f t="shared" si="1"/>
        <v>87</v>
      </c>
      <c r="C98" s="85"/>
      <c r="D98" s="85"/>
      <c r="E98" s="85"/>
      <c r="F98" s="16" t="s">
        <v>263</v>
      </c>
      <c r="G98" s="21" t="s">
        <v>260</v>
      </c>
      <c r="H98" s="32" t="s">
        <v>264</v>
      </c>
      <c r="I98" s="35" t="s">
        <v>265</v>
      </c>
      <c r="J98" s="8"/>
      <c r="K98" s="10"/>
      <c r="L98" s="1"/>
      <c r="M98" s="1"/>
      <c r="N98" s="4"/>
    </row>
    <row r="99" spans="2:14">
      <c r="B99" s="23">
        <f t="shared" si="1"/>
        <v>88</v>
      </c>
      <c r="C99" s="85"/>
      <c r="D99" s="85"/>
      <c r="E99" s="85" t="s">
        <v>266</v>
      </c>
      <c r="F99" s="16" t="s">
        <v>267</v>
      </c>
      <c r="G99" s="21" t="s">
        <v>268</v>
      </c>
      <c r="H99" s="32" t="s">
        <v>321</v>
      </c>
      <c r="I99" s="34" t="s">
        <v>318</v>
      </c>
      <c r="J99" s="8"/>
      <c r="K99" s="10"/>
      <c r="L99" s="1"/>
      <c r="M99" s="1"/>
      <c r="N99" s="4"/>
    </row>
    <row r="100" spans="2:14">
      <c r="B100" s="23">
        <f t="shared" si="1"/>
        <v>89</v>
      </c>
      <c r="C100" s="85"/>
      <c r="D100" s="85"/>
      <c r="E100" s="85"/>
      <c r="F100" s="16" t="s">
        <v>269</v>
      </c>
      <c r="G100" s="16" t="s">
        <v>51</v>
      </c>
      <c r="H100" s="32" t="s">
        <v>270</v>
      </c>
      <c r="I100" s="36" t="s">
        <v>319</v>
      </c>
      <c r="J100" s="8"/>
      <c r="K100" s="10"/>
      <c r="L100" s="1"/>
      <c r="M100" s="1"/>
      <c r="N100" s="4"/>
    </row>
    <row r="101" spans="2:14">
      <c r="B101" s="23">
        <f t="shared" si="1"/>
        <v>90</v>
      </c>
      <c r="C101" s="85"/>
      <c r="D101" s="85"/>
      <c r="E101" s="85"/>
      <c r="F101" s="16" t="s">
        <v>271</v>
      </c>
      <c r="G101" s="16" t="s">
        <v>272</v>
      </c>
      <c r="H101" s="32" t="s">
        <v>320</v>
      </c>
      <c r="I101" s="35" t="s">
        <v>273</v>
      </c>
      <c r="J101" s="8"/>
      <c r="K101" s="10"/>
      <c r="L101" s="1"/>
      <c r="M101" s="1"/>
      <c r="N101" s="4"/>
    </row>
    <row r="102" spans="2:14">
      <c r="B102" s="23">
        <f t="shared" si="1"/>
        <v>91</v>
      </c>
      <c r="C102" s="85"/>
      <c r="D102" s="85"/>
      <c r="E102" s="16" t="s">
        <v>274</v>
      </c>
      <c r="F102" s="16" t="s">
        <v>275</v>
      </c>
      <c r="G102" s="16" t="s">
        <v>276</v>
      </c>
      <c r="H102" s="32" t="s">
        <v>277</v>
      </c>
      <c r="I102" s="34" t="s">
        <v>322</v>
      </c>
      <c r="J102" s="8"/>
      <c r="K102" s="10"/>
      <c r="L102" s="1"/>
      <c r="M102" s="1"/>
      <c r="N102" s="4"/>
    </row>
    <row r="103" spans="2:14">
      <c r="B103" s="23">
        <f t="shared" si="1"/>
        <v>92</v>
      </c>
      <c r="C103" s="85"/>
      <c r="D103" s="85"/>
      <c r="E103" s="16" t="s">
        <v>6</v>
      </c>
      <c r="F103" s="16" t="s">
        <v>306</v>
      </c>
      <c r="G103" s="21" t="s">
        <v>50</v>
      </c>
      <c r="H103" s="32" t="s">
        <v>307</v>
      </c>
      <c r="I103" s="35" t="s">
        <v>278</v>
      </c>
      <c r="J103" s="8"/>
      <c r="K103" s="10"/>
      <c r="L103" s="1"/>
      <c r="M103" s="1"/>
      <c r="N103" s="4"/>
    </row>
    <row r="104" spans="2:14">
      <c r="B104" s="23">
        <f t="shared" si="1"/>
        <v>93</v>
      </c>
      <c r="C104" s="85" t="s">
        <v>52</v>
      </c>
      <c r="D104" s="85" t="s">
        <v>52</v>
      </c>
      <c r="E104" s="86" t="s">
        <v>53</v>
      </c>
      <c r="F104" s="16" t="s">
        <v>324</v>
      </c>
      <c r="G104" s="16" t="s">
        <v>8</v>
      </c>
      <c r="H104" s="32" t="s">
        <v>340</v>
      </c>
      <c r="I104" s="35" t="s">
        <v>325</v>
      </c>
      <c r="J104" s="8"/>
      <c r="K104" s="10"/>
      <c r="L104" s="1"/>
      <c r="M104" s="1"/>
      <c r="N104" s="4"/>
    </row>
    <row r="105" spans="2:14">
      <c r="B105" s="23">
        <f t="shared" si="1"/>
        <v>94</v>
      </c>
      <c r="C105" s="85"/>
      <c r="D105" s="85"/>
      <c r="E105" s="87"/>
      <c r="F105" s="86" t="s">
        <v>326</v>
      </c>
      <c r="G105" s="86" t="s">
        <v>8</v>
      </c>
      <c r="H105" s="32" t="s">
        <v>341</v>
      </c>
      <c r="I105" s="34" t="s">
        <v>337</v>
      </c>
      <c r="J105" s="8"/>
      <c r="K105" s="10"/>
      <c r="L105" s="1"/>
      <c r="M105" s="1"/>
      <c r="N105" s="4"/>
    </row>
    <row r="106" spans="2:14" ht="24">
      <c r="B106" s="23">
        <f t="shared" si="1"/>
        <v>95</v>
      </c>
      <c r="C106" s="85"/>
      <c r="D106" s="85"/>
      <c r="E106" s="87"/>
      <c r="F106" s="88"/>
      <c r="G106" s="88"/>
      <c r="H106" s="32" t="s">
        <v>342</v>
      </c>
      <c r="I106" s="35" t="s">
        <v>327</v>
      </c>
      <c r="J106" s="8"/>
      <c r="K106" s="10"/>
      <c r="L106" s="1"/>
      <c r="M106" s="1"/>
      <c r="N106" s="4"/>
    </row>
    <row r="107" spans="2:14">
      <c r="B107" s="23">
        <f t="shared" si="1"/>
        <v>96</v>
      </c>
      <c r="C107" s="85"/>
      <c r="D107" s="85"/>
      <c r="E107" s="88"/>
      <c r="F107" s="16" t="s">
        <v>54</v>
      </c>
      <c r="G107" s="16" t="s">
        <v>55</v>
      </c>
      <c r="H107" s="32" t="s">
        <v>56</v>
      </c>
      <c r="I107" s="34" t="s">
        <v>338</v>
      </c>
      <c r="J107" s="8"/>
      <c r="K107" s="10"/>
      <c r="L107" s="1"/>
      <c r="M107" s="1"/>
      <c r="N107" s="4"/>
    </row>
    <row r="108" spans="2:14">
      <c r="B108" s="23">
        <f t="shared" si="1"/>
        <v>97</v>
      </c>
      <c r="C108" s="85"/>
      <c r="D108" s="85"/>
      <c r="E108" s="16" t="s">
        <v>7</v>
      </c>
      <c r="F108" s="16" t="s">
        <v>328</v>
      </c>
      <c r="G108" s="15"/>
      <c r="H108" s="32" t="s">
        <v>329</v>
      </c>
      <c r="I108" s="35" t="s">
        <v>330</v>
      </c>
      <c r="J108" s="8"/>
      <c r="K108" s="10"/>
      <c r="L108" s="1"/>
      <c r="M108" s="1"/>
      <c r="N108" s="4"/>
    </row>
    <row r="109" spans="2:14">
      <c r="B109" s="23">
        <f t="shared" si="1"/>
        <v>98</v>
      </c>
      <c r="C109" s="85"/>
      <c r="D109" s="85"/>
      <c r="E109" s="85" t="s">
        <v>57</v>
      </c>
      <c r="F109" s="16" t="s">
        <v>57</v>
      </c>
      <c r="G109" s="16"/>
      <c r="H109" s="32" t="s">
        <v>331</v>
      </c>
      <c r="I109" s="35" t="s">
        <v>332</v>
      </c>
      <c r="J109" s="8"/>
      <c r="K109" s="10"/>
      <c r="L109" s="1"/>
      <c r="M109" s="1"/>
      <c r="N109" s="4"/>
    </row>
    <row r="110" spans="2:14">
      <c r="B110" s="23">
        <f t="shared" si="1"/>
        <v>99</v>
      </c>
      <c r="C110" s="85"/>
      <c r="D110" s="85"/>
      <c r="E110" s="85"/>
      <c r="F110" s="16" t="s">
        <v>333</v>
      </c>
      <c r="G110" s="16" t="s">
        <v>334</v>
      </c>
      <c r="H110" s="32" t="s">
        <v>335</v>
      </c>
      <c r="I110" s="35" t="s">
        <v>336</v>
      </c>
      <c r="J110" s="8"/>
      <c r="K110" s="10"/>
      <c r="L110" s="1"/>
      <c r="M110" s="1"/>
      <c r="N110" s="4"/>
    </row>
    <row r="111" spans="2:14">
      <c r="B111" s="23">
        <f t="shared" si="1"/>
        <v>100</v>
      </c>
      <c r="C111" s="85"/>
      <c r="D111" s="85"/>
      <c r="E111" s="16" t="s">
        <v>6</v>
      </c>
      <c r="F111" s="16" t="s">
        <v>343</v>
      </c>
      <c r="G111" s="16" t="s">
        <v>8</v>
      </c>
      <c r="H111" s="32" t="s">
        <v>344</v>
      </c>
      <c r="I111" s="34" t="s">
        <v>339</v>
      </c>
      <c r="J111" s="8"/>
      <c r="K111" s="10"/>
      <c r="L111" s="1"/>
      <c r="M111" s="1"/>
      <c r="N111" s="4"/>
    </row>
    <row r="112" spans="2:14">
      <c r="B112" s="12"/>
    </row>
    <row r="113" spans="2:14">
      <c r="B113" s="12"/>
    </row>
    <row r="114" spans="2:14">
      <c r="B114" s="12"/>
    </row>
    <row r="115" spans="2:14">
      <c r="B115" s="12"/>
    </row>
    <row r="116" spans="2:14">
      <c r="B116" s="12"/>
    </row>
    <row r="117" spans="2:14">
      <c r="B117" s="12"/>
    </row>
    <row r="118" spans="2:14">
      <c r="B118" s="12"/>
    </row>
    <row r="119" spans="2:14">
      <c r="B119" s="12"/>
    </row>
    <row r="120" spans="2:14">
      <c r="B120" s="12"/>
    </row>
    <row r="121" spans="2:14">
      <c r="B121" s="12"/>
    </row>
    <row r="122" spans="2:14">
      <c r="B122" s="12"/>
    </row>
    <row r="123" spans="2:14" s="17" customFormat="1">
      <c r="B123" s="12"/>
      <c r="H123" s="9"/>
      <c r="I123" s="9"/>
      <c r="J123" s="9"/>
      <c r="K123" s="9"/>
      <c r="L123" s="9"/>
      <c r="M123" s="9"/>
      <c r="N123" s="9"/>
    </row>
    <row r="124" spans="2:14" s="17" customFormat="1">
      <c r="B124" s="12"/>
      <c r="H124" s="9"/>
      <c r="I124" s="9"/>
      <c r="J124" s="9"/>
      <c r="K124" s="9"/>
      <c r="L124" s="9"/>
      <c r="M124" s="9"/>
      <c r="N124" s="9"/>
    </row>
    <row r="125" spans="2:14" s="17" customFormat="1">
      <c r="B125" s="12"/>
      <c r="H125" s="9"/>
      <c r="I125" s="9"/>
      <c r="J125" s="9"/>
      <c r="K125" s="9"/>
      <c r="L125" s="9"/>
      <c r="M125" s="9"/>
      <c r="N125" s="9"/>
    </row>
    <row r="126" spans="2:14" s="17" customFormat="1">
      <c r="B126" s="12"/>
      <c r="H126" s="9"/>
      <c r="I126" s="9"/>
      <c r="J126" s="9"/>
      <c r="K126" s="9"/>
      <c r="L126" s="9"/>
      <c r="M126" s="9"/>
      <c r="N126" s="9"/>
    </row>
    <row r="127" spans="2:14" s="17" customFormat="1">
      <c r="B127" s="12"/>
      <c r="H127" s="9"/>
      <c r="I127" s="9"/>
      <c r="J127" s="9"/>
      <c r="K127" s="9"/>
      <c r="L127" s="9"/>
      <c r="M127" s="9"/>
      <c r="N127" s="9"/>
    </row>
    <row r="128" spans="2:14" s="17" customFormat="1">
      <c r="B128" s="12"/>
      <c r="H128" s="9"/>
      <c r="I128" s="9"/>
      <c r="J128" s="9"/>
      <c r="K128" s="9"/>
      <c r="L128" s="9"/>
      <c r="M128" s="9"/>
      <c r="N128" s="9"/>
    </row>
    <row r="129" spans="2:14" s="17" customFormat="1">
      <c r="B129" s="12"/>
      <c r="H129" s="9"/>
      <c r="I129" s="9"/>
      <c r="J129" s="9"/>
      <c r="K129" s="9"/>
      <c r="L129" s="9"/>
      <c r="M129" s="9"/>
      <c r="N129" s="9"/>
    </row>
    <row r="130" spans="2:14" s="17" customFormat="1">
      <c r="B130" s="12"/>
      <c r="H130" s="9"/>
      <c r="I130" s="9"/>
      <c r="J130" s="9"/>
      <c r="K130" s="9"/>
      <c r="L130" s="9"/>
      <c r="M130" s="9"/>
      <c r="N130" s="9"/>
    </row>
    <row r="131" spans="2:14" s="17" customFormat="1">
      <c r="B131" s="12"/>
      <c r="H131" s="9"/>
      <c r="I131" s="9"/>
      <c r="J131" s="9"/>
      <c r="K131" s="9"/>
      <c r="L131" s="9"/>
      <c r="M131" s="9"/>
      <c r="N131" s="9"/>
    </row>
    <row r="132" spans="2:14" s="17" customFormat="1">
      <c r="B132" s="12"/>
      <c r="H132" s="9"/>
      <c r="I132" s="9"/>
      <c r="J132" s="9"/>
      <c r="K132" s="9"/>
      <c r="L132" s="9"/>
      <c r="M132" s="9"/>
      <c r="N132" s="9"/>
    </row>
    <row r="133" spans="2:14" s="17" customFormat="1">
      <c r="B133" s="12"/>
      <c r="H133" s="9"/>
      <c r="I133" s="9"/>
      <c r="J133" s="9"/>
      <c r="K133" s="9"/>
      <c r="L133" s="9"/>
      <c r="M133" s="9"/>
      <c r="N133" s="9"/>
    </row>
    <row r="134" spans="2:14" s="17" customFormat="1">
      <c r="B134" s="12"/>
      <c r="H134" s="9"/>
      <c r="I134" s="9"/>
      <c r="J134" s="9"/>
      <c r="K134" s="9"/>
      <c r="L134" s="9"/>
      <c r="M134" s="9"/>
      <c r="N134" s="9"/>
    </row>
    <row r="135" spans="2:14" s="17" customFormat="1">
      <c r="B135" s="12"/>
      <c r="H135" s="9"/>
      <c r="I135" s="9"/>
      <c r="J135" s="9"/>
      <c r="K135" s="9"/>
      <c r="L135" s="9"/>
      <c r="M135" s="9"/>
      <c r="N135" s="9"/>
    </row>
    <row r="136" spans="2:14" s="17" customFormat="1">
      <c r="B136" s="12"/>
      <c r="H136" s="9"/>
      <c r="I136" s="9"/>
      <c r="J136" s="9"/>
      <c r="K136" s="9"/>
      <c r="L136" s="9"/>
      <c r="M136" s="9"/>
      <c r="N136" s="9"/>
    </row>
    <row r="137" spans="2:14" s="17" customFormat="1">
      <c r="B137" s="12"/>
      <c r="H137" s="9"/>
      <c r="I137" s="9"/>
      <c r="J137" s="9"/>
      <c r="K137" s="9"/>
      <c r="L137" s="9"/>
      <c r="M137" s="9"/>
      <c r="N137" s="9"/>
    </row>
    <row r="138" spans="2:14" s="17" customFormat="1">
      <c r="B138" s="12"/>
      <c r="H138" s="9"/>
      <c r="I138" s="9"/>
      <c r="J138" s="9"/>
      <c r="K138" s="9"/>
      <c r="L138" s="9"/>
      <c r="M138" s="9"/>
      <c r="N138" s="9"/>
    </row>
    <row r="139" spans="2:14" s="17" customFormat="1">
      <c r="B139" s="12"/>
      <c r="H139" s="9"/>
      <c r="I139" s="9"/>
      <c r="J139" s="9"/>
      <c r="K139" s="9"/>
      <c r="L139" s="9"/>
      <c r="M139" s="9"/>
      <c r="N139" s="9"/>
    </row>
    <row r="140" spans="2:14" s="17" customFormat="1">
      <c r="B140" s="12"/>
      <c r="H140" s="9"/>
      <c r="I140" s="9"/>
      <c r="J140" s="9"/>
      <c r="K140" s="9"/>
      <c r="L140" s="9"/>
      <c r="M140" s="9"/>
      <c r="N140" s="9"/>
    </row>
    <row r="141" spans="2:14" s="17" customFormat="1">
      <c r="B141" s="12"/>
      <c r="H141" s="9"/>
      <c r="I141" s="9"/>
      <c r="J141" s="9"/>
      <c r="K141" s="9"/>
      <c r="L141" s="9"/>
      <c r="M141" s="9"/>
      <c r="N141" s="9"/>
    </row>
    <row r="142" spans="2:14" s="17" customFormat="1">
      <c r="B142" s="12"/>
      <c r="H142" s="9"/>
      <c r="I142" s="9"/>
      <c r="J142" s="9"/>
      <c r="K142" s="9"/>
      <c r="L142" s="9"/>
      <c r="M142" s="9"/>
      <c r="N142" s="9"/>
    </row>
    <row r="143" spans="2:14" s="17" customFormat="1">
      <c r="B143" s="12"/>
      <c r="H143" s="9"/>
      <c r="I143" s="9"/>
      <c r="J143" s="9"/>
      <c r="K143" s="9"/>
      <c r="L143" s="9"/>
      <c r="M143" s="9"/>
      <c r="N143" s="9"/>
    </row>
    <row r="144" spans="2:14" s="17" customFormat="1">
      <c r="B144" s="12"/>
      <c r="H144" s="9"/>
      <c r="I144" s="9"/>
      <c r="J144" s="9"/>
      <c r="K144" s="9"/>
      <c r="L144" s="9"/>
      <c r="M144" s="9"/>
      <c r="N144" s="9"/>
    </row>
    <row r="145" spans="2:14" s="17" customFormat="1">
      <c r="B145" s="12"/>
      <c r="H145" s="9"/>
      <c r="I145" s="9"/>
      <c r="J145" s="9"/>
      <c r="K145" s="9"/>
      <c r="L145" s="9"/>
      <c r="M145" s="9"/>
      <c r="N145" s="9"/>
    </row>
    <row r="146" spans="2:14" s="17" customFormat="1">
      <c r="B146" s="12"/>
      <c r="H146" s="9"/>
      <c r="I146" s="9"/>
      <c r="J146" s="9"/>
      <c r="K146" s="9"/>
      <c r="L146" s="9"/>
      <c r="M146" s="9"/>
      <c r="N146" s="9"/>
    </row>
    <row r="147" spans="2:14" s="17" customFormat="1">
      <c r="B147" s="12"/>
      <c r="H147" s="9"/>
      <c r="I147" s="9"/>
      <c r="J147" s="9"/>
      <c r="K147" s="9"/>
      <c r="L147" s="9"/>
      <c r="M147" s="9"/>
      <c r="N147" s="9"/>
    </row>
    <row r="148" spans="2:14" s="17" customFormat="1">
      <c r="B148" s="12"/>
      <c r="H148" s="9"/>
      <c r="I148" s="9"/>
      <c r="J148" s="9"/>
      <c r="K148" s="9"/>
      <c r="L148" s="9"/>
      <c r="M148" s="9"/>
      <c r="N148" s="9"/>
    </row>
    <row r="149" spans="2:14" s="17" customFormat="1">
      <c r="B149" s="12"/>
      <c r="H149" s="9"/>
      <c r="I149" s="9"/>
      <c r="J149" s="9"/>
      <c r="K149" s="9"/>
      <c r="L149" s="9"/>
      <c r="M149" s="9"/>
      <c r="N149" s="9"/>
    </row>
    <row r="150" spans="2:14" s="17" customFormat="1">
      <c r="B150" s="12"/>
      <c r="H150" s="9"/>
      <c r="I150" s="9"/>
      <c r="J150" s="9"/>
      <c r="K150" s="9"/>
      <c r="L150" s="9"/>
      <c r="M150" s="9"/>
      <c r="N150" s="9"/>
    </row>
    <row r="151" spans="2:14" s="17" customFormat="1">
      <c r="B151" s="12"/>
      <c r="H151" s="9"/>
      <c r="I151" s="9"/>
      <c r="J151" s="9"/>
      <c r="K151" s="9"/>
      <c r="L151" s="9"/>
      <c r="M151" s="9"/>
      <c r="N151" s="9"/>
    </row>
    <row r="152" spans="2:14" s="17" customFormat="1">
      <c r="B152" s="12"/>
      <c r="H152" s="9"/>
      <c r="I152" s="9"/>
      <c r="J152" s="9"/>
      <c r="K152" s="9"/>
      <c r="L152" s="9"/>
      <c r="M152" s="9"/>
      <c r="N152" s="9"/>
    </row>
    <row r="153" spans="2:14" s="17" customFormat="1">
      <c r="B153" s="12"/>
      <c r="H153" s="9"/>
      <c r="I153" s="9"/>
      <c r="J153" s="9"/>
      <c r="K153" s="9"/>
      <c r="L153" s="9"/>
      <c r="M153" s="9"/>
      <c r="N153" s="9"/>
    </row>
    <row r="154" spans="2:14" s="17" customFormat="1">
      <c r="B154" s="12"/>
      <c r="H154" s="9"/>
      <c r="I154" s="9"/>
      <c r="J154" s="9"/>
      <c r="K154" s="9"/>
      <c r="L154" s="9"/>
      <c r="M154" s="9"/>
      <c r="N154" s="9"/>
    </row>
    <row r="155" spans="2:14" s="17" customFormat="1">
      <c r="B155" s="12"/>
      <c r="H155" s="9"/>
      <c r="I155" s="9"/>
      <c r="J155" s="9"/>
      <c r="K155" s="9"/>
      <c r="L155" s="9"/>
      <c r="M155" s="9"/>
      <c r="N155" s="9"/>
    </row>
    <row r="156" spans="2:14" s="17" customFormat="1">
      <c r="B156" s="12"/>
      <c r="H156" s="9"/>
      <c r="I156" s="9"/>
      <c r="J156" s="9"/>
      <c r="K156" s="9"/>
      <c r="L156" s="9"/>
      <c r="M156" s="9"/>
      <c r="N156" s="9"/>
    </row>
    <row r="157" spans="2:14" s="17" customFormat="1">
      <c r="B157" s="12"/>
      <c r="H157" s="9"/>
      <c r="I157" s="9"/>
      <c r="J157" s="9"/>
      <c r="K157" s="9"/>
      <c r="L157" s="9"/>
      <c r="M157" s="9"/>
      <c r="N157" s="9"/>
    </row>
    <row r="158" spans="2:14" s="17" customFormat="1">
      <c r="B158" s="12"/>
      <c r="H158" s="9"/>
      <c r="I158" s="9"/>
      <c r="J158" s="9"/>
      <c r="K158" s="9"/>
      <c r="L158" s="9"/>
      <c r="M158" s="9"/>
      <c r="N158" s="9"/>
    </row>
    <row r="159" spans="2:14" s="17" customFormat="1">
      <c r="B159" s="12"/>
      <c r="H159" s="9"/>
      <c r="I159" s="9"/>
      <c r="J159" s="9"/>
      <c r="K159" s="9"/>
      <c r="L159" s="9"/>
      <c r="M159" s="9"/>
      <c r="N159" s="9"/>
    </row>
    <row r="160" spans="2:14" s="17" customFormat="1">
      <c r="B160" s="12"/>
      <c r="H160" s="9"/>
      <c r="I160" s="9"/>
      <c r="J160" s="9"/>
      <c r="K160" s="9"/>
      <c r="L160" s="9"/>
      <c r="M160" s="9"/>
      <c r="N160" s="9"/>
    </row>
    <row r="161" spans="2:14" s="17" customFormat="1">
      <c r="B161" s="12"/>
      <c r="H161" s="9"/>
      <c r="I161" s="9"/>
      <c r="J161" s="9"/>
      <c r="K161" s="9"/>
      <c r="L161" s="9"/>
      <c r="M161" s="9"/>
      <c r="N161" s="9"/>
    </row>
    <row r="162" spans="2:14" s="17" customFormat="1">
      <c r="B162" s="12"/>
      <c r="H162" s="9"/>
      <c r="I162" s="9"/>
      <c r="J162" s="9"/>
      <c r="K162" s="9"/>
      <c r="L162" s="9"/>
      <c r="M162" s="9"/>
      <c r="N162" s="9"/>
    </row>
    <row r="163" spans="2:14" s="17" customFormat="1">
      <c r="B163" s="12"/>
      <c r="H163" s="9"/>
      <c r="I163" s="9"/>
      <c r="J163" s="9"/>
      <c r="K163" s="9"/>
      <c r="L163" s="9"/>
      <c r="M163" s="9"/>
      <c r="N163" s="9"/>
    </row>
    <row r="164" spans="2:14" s="17" customFormat="1">
      <c r="B164" s="12"/>
      <c r="H164" s="9"/>
      <c r="I164" s="9"/>
      <c r="J164" s="9"/>
      <c r="K164" s="9"/>
      <c r="L164" s="9"/>
      <c r="M164" s="9"/>
      <c r="N164" s="9"/>
    </row>
    <row r="165" spans="2:14" s="17" customFormat="1">
      <c r="B165" s="12"/>
      <c r="H165" s="9"/>
      <c r="I165" s="9"/>
      <c r="J165" s="9"/>
      <c r="K165" s="9"/>
      <c r="L165" s="9"/>
      <c r="M165" s="9"/>
      <c r="N165" s="9"/>
    </row>
    <row r="166" spans="2:14" s="17" customFormat="1">
      <c r="B166" s="12"/>
      <c r="H166" s="9"/>
      <c r="I166" s="9"/>
      <c r="J166" s="9"/>
      <c r="K166" s="9"/>
      <c r="L166" s="9"/>
      <c r="M166" s="9"/>
      <c r="N166" s="9"/>
    </row>
    <row r="167" spans="2:14" s="17" customFormat="1">
      <c r="B167" s="12"/>
      <c r="H167" s="9"/>
      <c r="I167" s="9"/>
      <c r="J167" s="9"/>
      <c r="K167" s="9"/>
      <c r="L167" s="9"/>
      <c r="M167" s="9"/>
      <c r="N167" s="9"/>
    </row>
    <row r="168" spans="2:14" s="17" customFormat="1">
      <c r="B168" s="12"/>
      <c r="H168" s="9"/>
      <c r="I168" s="9"/>
      <c r="J168" s="9"/>
      <c r="K168" s="9"/>
      <c r="L168" s="9"/>
      <c r="M168" s="9"/>
      <c r="N168" s="9"/>
    </row>
    <row r="169" spans="2:14" s="17" customFormat="1">
      <c r="B169" s="12"/>
      <c r="H169" s="9"/>
      <c r="I169" s="9"/>
      <c r="J169" s="9"/>
      <c r="K169" s="9"/>
      <c r="L169" s="9"/>
      <c r="M169" s="9"/>
      <c r="N169" s="9"/>
    </row>
    <row r="170" spans="2:14" s="17" customFormat="1">
      <c r="B170" s="12"/>
      <c r="H170" s="9"/>
      <c r="I170" s="9"/>
      <c r="J170" s="9"/>
      <c r="K170" s="9"/>
      <c r="L170" s="9"/>
      <c r="M170" s="9"/>
      <c r="N170" s="9"/>
    </row>
    <row r="171" spans="2:14" s="17" customFormat="1">
      <c r="B171" s="12"/>
      <c r="H171" s="9"/>
      <c r="I171" s="9"/>
      <c r="J171" s="9"/>
      <c r="K171" s="9"/>
      <c r="L171" s="9"/>
      <c r="M171" s="9"/>
      <c r="N171" s="9"/>
    </row>
    <row r="172" spans="2:14" s="17" customFormat="1">
      <c r="B172" s="12"/>
      <c r="H172" s="9"/>
      <c r="I172" s="9"/>
      <c r="J172" s="9"/>
      <c r="K172" s="9"/>
      <c r="L172" s="9"/>
      <c r="M172" s="9"/>
      <c r="N172" s="9"/>
    </row>
    <row r="173" spans="2:14" s="17" customFormat="1">
      <c r="B173" s="12"/>
      <c r="H173" s="9"/>
      <c r="I173" s="9"/>
      <c r="J173" s="9"/>
      <c r="K173" s="9"/>
      <c r="L173" s="9"/>
      <c r="M173" s="9"/>
      <c r="N173" s="9"/>
    </row>
    <row r="174" spans="2:14" s="17" customFormat="1">
      <c r="B174" s="12"/>
      <c r="H174" s="9"/>
      <c r="I174" s="9"/>
      <c r="J174" s="9"/>
      <c r="K174" s="9"/>
      <c r="L174" s="9"/>
      <c r="M174" s="9"/>
      <c r="N174" s="9"/>
    </row>
    <row r="175" spans="2:14" s="17" customFormat="1">
      <c r="B175" s="12"/>
      <c r="H175" s="9"/>
      <c r="I175" s="9"/>
      <c r="J175" s="9"/>
      <c r="K175" s="9"/>
      <c r="L175" s="9"/>
      <c r="M175" s="9"/>
      <c r="N175" s="9"/>
    </row>
    <row r="176" spans="2:14" s="17" customFormat="1">
      <c r="B176" s="12"/>
      <c r="H176" s="9"/>
      <c r="I176" s="9"/>
      <c r="J176" s="9"/>
      <c r="K176" s="9"/>
      <c r="L176" s="9"/>
      <c r="M176" s="9"/>
      <c r="N176" s="9"/>
    </row>
    <row r="177" spans="2:14" s="17" customFormat="1">
      <c r="B177" s="12"/>
      <c r="H177" s="9"/>
      <c r="I177" s="9"/>
      <c r="J177" s="9"/>
      <c r="K177" s="9"/>
      <c r="L177" s="9"/>
      <c r="M177" s="9"/>
      <c r="N177" s="9"/>
    </row>
    <row r="178" spans="2:14" s="17" customFormat="1">
      <c r="B178" s="12"/>
      <c r="H178" s="9"/>
      <c r="I178" s="9"/>
      <c r="J178" s="9"/>
      <c r="K178" s="9"/>
      <c r="L178" s="9"/>
      <c r="M178" s="9"/>
      <c r="N178" s="9"/>
    </row>
    <row r="179" spans="2:14" s="17" customFormat="1">
      <c r="B179" s="12"/>
      <c r="H179" s="9"/>
      <c r="I179" s="9"/>
      <c r="J179" s="9"/>
      <c r="K179" s="9"/>
      <c r="L179" s="9"/>
      <c r="M179" s="9"/>
      <c r="N179" s="9"/>
    </row>
    <row r="180" spans="2:14" s="17" customFormat="1">
      <c r="B180" s="12"/>
      <c r="H180" s="9"/>
      <c r="I180" s="9"/>
      <c r="J180" s="9"/>
      <c r="K180" s="9"/>
      <c r="L180" s="9"/>
      <c r="M180" s="9"/>
      <c r="N180" s="9"/>
    </row>
    <row r="181" spans="2:14" s="17" customFormat="1">
      <c r="B181" s="12"/>
      <c r="H181" s="9"/>
      <c r="I181" s="9"/>
      <c r="J181" s="9"/>
      <c r="K181" s="9"/>
      <c r="L181" s="9"/>
      <c r="M181" s="9"/>
      <c r="N181" s="9"/>
    </row>
    <row r="182" spans="2:14" s="17" customFormat="1">
      <c r="B182" s="12"/>
      <c r="H182" s="9"/>
      <c r="I182" s="9"/>
      <c r="J182" s="9"/>
      <c r="K182" s="9"/>
      <c r="L182" s="9"/>
      <c r="M182" s="9"/>
      <c r="N182" s="9"/>
    </row>
    <row r="183" spans="2:14" s="17" customFormat="1">
      <c r="B183" s="12"/>
      <c r="H183" s="9"/>
      <c r="I183" s="9"/>
      <c r="J183" s="9"/>
      <c r="K183" s="9"/>
      <c r="L183" s="9"/>
      <c r="M183" s="9"/>
      <c r="N183" s="9"/>
    </row>
    <row r="184" spans="2:14" s="17" customFormat="1">
      <c r="B184" s="12"/>
      <c r="H184" s="9"/>
      <c r="I184" s="9"/>
      <c r="J184" s="9"/>
      <c r="K184" s="9"/>
      <c r="L184" s="9"/>
      <c r="M184" s="9"/>
      <c r="N184" s="9"/>
    </row>
    <row r="185" spans="2:14" s="17" customFormat="1">
      <c r="B185" s="12"/>
      <c r="H185" s="9"/>
      <c r="I185" s="9"/>
      <c r="J185" s="9"/>
      <c r="K185" s="9"/>
      <c r="L185" s="9"/>
      <c r="M185" s="9"/>
      <c r="N185" s="9"/>
    </row>
    <row r="186" spans="2:14" s="17" customFormat="1">
      <c r="B186" s="12"/>
      <c r="H186" s="9"/>
      <c r="I186" s="9"/>
      <c r="J186" s="9"/>
      <c r="K186" s="9"/>
      <c r="L186" s="9"/>
      <c r="M186" s="9"/>
      <c r="N186" s="9"/>
    </row>
    <row r="187" spans="2:14" s="17" customFormat="1">
      <c r="B187" s="12"/>
      <c r="H187" s="9"/>
      <c r="I187" s="9"/>
      <c r="J187" s="9"/>
      <c r="K187" s="9"/>
      <c r="L187" s="9"/>
      <c r="M187" s="9"/>
      <c r="N187" s="9"/>
    </row>
    <row r="188" spans="2:14" s="17" customFormat="1">
      <c r="B188" s="12"/>
      <c r="H188" s="9"/>
      <c r="I188" s="9"/>
      <c r="J188" s="9"/>
      <c r="K188" s="9"/>
      <c r="L188" s="9"/>
      <c r="M188" s="9"/>
      <c r="N188" s="9"/>
    </row>
    <row r="189" spans="2:14" s="17" customFormat="1">
      <c r="B189" s="12"/>
      <c r="H189" s="9"/>
      <c r="I189" s="9"/>
      <c r="J189" s="9"/>
      <c r="K189" s="9"/>
      <c r="L189" s="9"/>
      <c r="M189" s="9"/>
      <c r="N189" s="9"/>
    </row>
    <row r="190" spans="2:14" s="17" customFormat="1">
      <c r="B190" s="12"/>
      <c r="H190" s="9"/>
      <c r="I190" s="9"/>
      <c r="J190" s="9"/>
      <c r="K190" s="9"/>
      <c r="L190" s="9"/>
      <c r="M190" s="9"/>
      <c r="N190" s="9"/>
    </row>
    <row r="191" spans="2:14" s="17" customFormat="1">
      <c r="B191" s="12"/>
      <c r="H191" s="9"/>
      <c r="I191" s="9"/>
      <c r="J191" s="9"/>
      <c r="K191" s="9"/>
      <c r="L191" s="9"/>
      <c r="M191" s="9"/>
      <c r="N191" s="9"/>
    </row>
    <row r="192" spans="2:14" s="17" customFormat="1">
      <c r="B192" s="12"/>
      <c r="H192" s="9"/>
      <c r="I192" s="9"/>
      <c r="J192" s="9"/>
      <c r="K192" s="9"/>
      <c r="L192" s="9"/>
      <c r="M192" s="9"/>
      <c r="N192" s="9"/>
    </row>
    <row r="193" spans="2:14" s="17" customFormat="1">
      <c r="B193" s="12"/>
      <c r="H193" s="9"/>
      <c r="I193" s="9"/>
      <c r="J193" s="9"/>
      <c r="K193" s="9"/>
      <c r="L193" s="9"/>
      <c r="M193" s="9"/>
      <c r="N193" s="9"/>
    </row>
    <row r="194" spans="2:14" s="17" customFormat="1">
      <c r="B194" s="12"/>
      <c r="H194" s="9"/>
      <c r="I194" s="9"/>
      <c r="J194" s="9"/>
      <c r="K194" s="9"/>
      <c r="L194" s="9"/>
      <c r="M194" s="9"/>
      <c r="N194" s="9"/>
    </row>
    <row r="195" spans="2:14" s="17" customFormat="1">
      <c r="B195" s="12"/>
      <c r="H195" s="9"/>
      <c r="I195" s="9"/>
      <c r="J195" s="9"/>
      <c r="K195" s="9"/>
      <c r="L195" s="9"/>
      <c r="M195" s="9"/>
      <c r="N195" s="9"/>
    </row>
    <row r="196" spans="2:14" s="17" customFormat="1">
      <c r="B196" s="12"/>
      <c r="H196" s="9"/>
      <c r="I196" s="9"/>
      <c r="J196" s="9"/>
      <c r="K196" s="9"/>
      <c r="L196" s="9"/>
      <c r="M196" s="9"/>
      <c r="N196" s="9"/>
    </row>
    <row r="197" spans="2:14" s="17" customFormat="1">
      <c r="B197" s="12"/>
      <c r="H197" s="9"/>
      <c r="I197" s="9"/>
      <c r="J197" s="9"/>
      <c r="K197" s="9"/>
      <c r="L197" s="9"/>
      <c r="M197" s="9"/>
      <c r="N197" s="9"/>
    </row>
    <row r="198" spans="2:14" s="17" customFormat="1">
      <c r="B198" s="12"/>
      <c r="H198" s="9"/>
      <c r="I198" s="9"/>
      <c r="J198" s="9"/>
      <c r="K198" s="9"/>
      <c r="L198" s="9"/>
      <c r="M198" s="9"/>
      <c r="N198" s="9"/>
    </row>
    <row r="199" spans="2:14" s="17" customFormat="1">
      <c r="B199" s="12"/>
      <c r="H199" s="9"/>
      <c r="I199" s="9"/>
      <c r="J199" s="9"/>
      <c r="K199" s="9"/>
      <c r="L199" s="9"/>
      <c r="M199" s="9"/>
      <c r="N199" s="9"/>
    </row>
    <row r="200" spans="2:14" s="17" customFormat="1">
      <c r="B200" s="12"/>
      <c r="H200" s="9"/>
      <c r="I200" s="9"/>
      <c r="J200" s="9"/>
      <c r="K200" s="9"/>
      <c r="L200" s="9"/>
      <c r="M200" s="9"/>
      <c r="N200" s="9"/>
    </row>
    <row r="201" spans="2:14" s="17" customFormat="1">
      <c r="B201" s="12"/>
      <c r="H201" s="9"/>
      <c r="I201" s="9"/>
      <c r="J201" s="9"/>
      <c r="K201" s="9"/>
      <c r="L201" s="9"/>
      <c r="M201" s="9"/>
      <c r="N201" s="9"/>
    </row>
    <row r="202" spans="2:14" s="17" customFormat="1">
      <c r="B202" s="12"/>
      <c r="H202" s="9"/>
      <c r="I202" s="9"/>
      <c r="J202" s="9"/>
      <c r="K202" s="9"/>
      <c r="L202" s="9"/>
      <c r="M202" s="9"/>
      <c r="N202" s="9"/>
    </row>
    <row r="203" spans="2:14" s="17" customFormat="1">
      <c r="B203" s="12"/>
      <c r="H203" s="9"/>
      <c r="I203" s="9"/>
      <c r="J203" s="9"/>
      <c r="K203" s="9"/>
      <c r="L203" s="9"/>
      <c r="M203" s="9"/>
      <c r="N203" s="9"/>
    </row>
    <row r="204" spans="2:14" s="17" customFormat="1">
      <c r="B204" s="12"/>
      <c r="H204" s="9"/>
      <c r="I204" s="9"/>
      <c r="J204" s="9"/>
      <c r="K204" s="9"/>
      <c r="L204" s="9"/>
      <c r="M204" s="9"/>
      <c r="N204" s="9"/>
    </row>
    <row r="205" spans="2:14" s="17" customFormat="1">
      <c r="B205" s="12"/>
      <c r="H205" s="9"/>
      <c r="I205" s="9"/>
      <c r="J205" s="9"/>
      <c r="K205" s="9"/>
      <c r="L205" s="9"/>
      <c r="M205" s="9"/>
      <c r="N205" s="9"/>
    </row>
    <row r="206" spans="2:14" s="17" customFormat="1">
      <c r="B206" s="12"/>
      <c r="H206" s="9"/>
      <c r="I206" s="9"/>
      <c r="J206" s="9"/>
      <c r="K206" s="9"/>
      <c r="L206" s="9"/>
      <c r="M206" s="9"/>
      <c r="N206" s="9"/>
    </row>
    <row r="207" spans="2:14" s="17" customFormat="1">
      <c r="B207" s="12"/>
      <c r="H207" s="9"/>
      <c r="I207" s="9"/>
      <c r="J207" s="9"/>
      <c r="K207" s="9"/>
      <c r="L207" s="9"/>
      <c r="M207" s="9"/>
      <c r="N207" s="9"/>
    </row>
    <row r="208" spans="2:14" s="17" customFormat="1">
      <c r="B208" s="12"/>
      <c r="H208" s="9"/>
      <c r="I208" s="9"/>
      <c r="J208" s="9"/>
      <c r="K208" s="9"/>
      <c r="L208" s="9"/>
      <c r="M208" s="9"/>
      <c r="N208" s="9"/>
    </row>
    <row r="209" spans="2:14" s="17" customFormat="1">
      <c r="B209" s="12"/>
      <c r="H209" s="9"/>
      <c r="I209" s="9"/>
      <c r="J209" s="9"/>
      <c r="K209" s="9"/>
      <c r="L209" s="9"/>
      <c r="M209" s="9"/>
      <c r="N209" s="9"/>
    </row>
    <row r="210" spans="2:14" s="17" customFormat="1">
      <c r="B210" s="12"/>
      <c r="H210" s="9"/>
      <c r="I210" s="9"/>
      <c r="J210" s="9"/>
      <c r="K210" s="9"/>
      <c r="L210" s="9"/>
      <c r="M210" s="9"/>
      <c r="N210" s="9"/>
    </row>
    <row r="211" spans="2:14" s="17" customFormat="1">
      <c r="B211" s="12"/>
      <c r="H211" s="9"/>
      <c r="I211" s="9"/>
      <c r="J211" s="9"/>
      <c r="K211" s="9"/>
      <c r="L211" s="9"/>
      <c r="M211" s="9"/>
      <c r="N211" s="9"/>
    </row>
    <row r="212" spans="2:14" s="17" customFormat="1">
      <c r="B212" s="12"/>
      <c r="H212" s="9"/>
      <c r="I212" s="9"/>
      <c r="J212" s="9"/>
      <c r="K212" s="9"/>
      <c r="L212" s="9"/>
      <c r="M212" s="9"/>
      <c r="N212" s="9"/>
    </row>
    <row r="213" spans="2:14" s="17" customFormat="1">
      <c r="B213" s="12"/>
      <c r="H213" s="9"/>
      <c r="I213" s="9"/>
      <c r="J213" s="9"/>
      <c r="K213" s="9"/>
      <c r="L213" s="9"/>
      <c r="M213" s="9"/>
      <c r="N213" s="9"/>
    </row>
    <row r="214" spans="2:14" s="17" customFormat="1">
      <c r="B214" s="12"/>
      <c r="H214" s="9"/>
      <c r="I214" s="9"/>
      <c r="J214" s="9"/>
      <c r="K214" s="9"/>
      <c r="L214" s="9"/>
      <c r="M214" s="9"/>
      <c r="N214" s="9"/>
    </row>
    <row r="215" spans="2:14" s="17" customFormat="1">
      <c r="B215" s="12"/>
      <c r="H215" s="9"/>
      <c r="I215" s="9"/>
      <c r="J215" s="9"/>
      <c r="K215" s="9"/>
      <c r="L215" s="9"/>
      <c r="M215" s="9"/>
      <c r="N215" s="9"/>
    </row>
    <row r="216" spans="2:14" s="17" customFormat="1">
      <c r="B216" s="12"/>
      <c r="H216" s="9"/>
      <c r="I216" s="9"/>
      <c r="J216" s="9"/>
      <c r="K216" s="9"/>
      <c r="L216" s="9"/>
      <c r="M216" s="9"/>
      <c r="N216" s="9"/>
    </row>
    <row r="217" spans="2:14" s="17" customFormat="1">
      <c r="B217" s="12"/>
      <c r="H217" s="9"/>
      <c r="I217" s="9"/>
      <c r="J217" s="9"/>
      <c r="K217" s="9"/>
      <c r="L217" s="9"/>
      <c r="M217" s="9"/>
      <c r="N217" s="9"/>
    </row>
    <row r="218" spans="2:14" s="17" customFormat="1">
      <c r="B218" s="12"/>
      <c r="H218" s="9"/>
      <c r="I218" s="9"/>
      <c r="J218" s="9"/>
      <c r="K218" s="9"/>
      <c r="L218" s="9"/>
      <c r="M218" s="9"/>
      <c r="N218" s="9"/>
    </row>
    <row r="219" spans="2:14" s="17" customFormat="1">
      <c r="B219" s="12"/>
      <c r="H219" s="9"/>
      <c r="I219" s="9"/>
      <c r="J219" s="9"/>
      <c r="K219" s="9"/>
      <c r="L219" s="9"/>
      <c r="M219" s="9"/>
      <c r="N219" s="9"/>
    </row>
    <row r="220" spans="2:14" s="17" customFormat="1">
      <c r="B220" s="12" t="str">
        <f>IF(COUNTA(C220:N220)=0,"",COUNTIF($B$12:B220,"&gt;0"))</f>
        <v/>
      </c>
      <c r="H220" s="9"/>
      <c r="I220" s="9"/>
      <c r="J220" s="9"/>
      <c r="K220" s="9"/>
      <c r="L220" s="9"/>
      <c r="M220" s="9"/>
      <c r="N220" s="9"/>
    </row>
  </sheetData>
  <mergeCells count="76">
    <mergeCell ref="G23:G24"/>
    <mergeCell ref="F23:F24"/>
    <mergeCell ref="F13:F15"/>
    <mergeCell ref="G13:G15"/>
    <mergeCell ref="F38:F39"/>
    <mergeCell ref="G38:G39"/>
    <mergeCell ref="E41:E46"/>
    <mergeCell ref="G18:G19"/>
    <mergeCell ref="G20:G22"/>
    <mergeCell ref="G42:G43"/>
    <mergeCell ref="F18:F19"/>
    <mergeCell ref="F20:F22"/>
    <mergeCell ref="E18:E24"/>
    <mergeCell ref="F42:F43"/>
    <mergeCell ref="F44:F45"/>
    <mergeCell ref="G44:G45"/>
    <mergeCell ref="E25:E26"/>
    <mergeCell ref="E27:E31"/>
    <mergeCell ref="G27:G31"/>
    <mergeCell ref="F27:F31"/>
    <mergeCell ref="C13:C34"/>
    <mergeCell ref="D18:D34"/>
    <mergeCell ref="C35:C47"/>
    <mergeCell ref="D35:D47"/>
    <mergeCell ref="E35:E39"/>
    <mergeCell ref="D12:D17"/>
    <mergeCell ref="E12:E17"/>
    <mergeCell ref="C48:C65"/>
    <mergeCell ref="D48:D65"/>
    <mergeCell ref="E48:E55"/>
    <mergeCell ref="F52:F53"/>
    <mergeCell ref="G52:G53"/>
    <mergeCell ref="E57:E60"/>
    <mergeCell ref="E61:E62"/>
    <mergeCell ref="G50:G51"/>
    <mergeCell ref="F50:F51"/>
    <mergeCell ref="C66:C84"/>
    <mergeCell ref="D66:D84"/>
    <mergeCell ref="E66:E71"/>
    <mergeCell ref="F69:F70"/>
    <mergeCell ref="G69:G70"/>
    <mergeCell ref="E72:E73"/>
    <mergeCell ref="E74:E76"/>
    <mergeCell ref="E77:E79"/>
    <mergeCell ref="E80:E82"/>
    <mergeCell ref="F81:F82"/>
    <mergeCell ref="G105:G106"/>
    <mergeCell ref="E109:E110"/>
    <mergeCell ref="C85:C103"/>
    <mergeCell ref="D85:D103"/>
    <mergeCell ref="E85:E87"/>
    <mergeCell ref="F86:F87"/>
    <mergeCell ref="G86:G87"/>
    <mergeCell ref="E88:E91"/>
    <mergeCell ref="F89:F90"/>
    <mergeCell ref="G89:G90"/>
    <mergeCell ref="E93:E96"/>
    <mergeCell ref="E97:E98"/>
    <mergeCell ref="E99:E101"/>
    <mergeCell ref="C104:C111"/>
    <mergeCell ref="D104:D111"/>
    <mergeCell ref="E104:E107"/>
    <mergeCell ref="F105:F106"/>
    <mergeCell ref="K2:N2"/>
    <mergeCell ref="K3:N3"/>
    <mergeCell ref="K4:N4"/>
    <mergeCell ref="L5:N5"/>
    <mergeCell ref="L6:N6"/>
    <mergeCell ref="L9:N9"/>
    <mergeCell ref="B5:D5"/>
    <mergeCell ref="B6:D6"/>
    <mergeCell ref="B8:D8"/>
    <mergeCell ref="B9:D9"/>
    <mergeCell ref="L8:N8"/>
    <mergeCell ref="B7:D7"/>
    <mergeCell ref="L7:N7"/>
  </mergeCells>
  <phoneticPr fontId="10" type="noConversion"/>
  <conditionalFormatting sqref="J12:J111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"N/A"</formula>
    </cfRule>
  </conditionalFormatting>
  <dataValidations count="3">
    <dataValidation type="date" allowBlank="1" showInputMessage="1" showErrorMessage="1" errorTitle="잘못된 날짜" error="유효한 날짜를 입력하세요. 예: 2025-06-25" promptTitle="확인 날짜" prompt="날짜를 선택하거나 yyyy-mm-dd 형식으로 입력하세요." sqref="N12:N111" xr:uid="{12B20317-9DC9-467F-ABE5-2EDBF8EEFC23}">
      <formula1>DATE(2020,1,1)</formula1>
      <formula2>DATE(2099,12,31)</formula2>
    </dataValidation>
    <dataValidation type="list" allowBlank="1" showInputMessage="1" showErrorMessage="1" errorTitle="잘못된 담당자" error="목록에서 강유나 또는 홍길동을 선택하세요." promptTitle="담당자" prompt="강유나 또는 홍길동 중 선택하세요." sqref="M12:M111" xr:uid="{175EBBFB-56BB-4254-BCB0-60A538BD5A5C}">
      <formula1>"강유나,홍길동"</formula1>
    </dataValidation>
    <dataValidation type="list" allowBlank="1" showInputMessage="1" showErrorMessage="1" errorTitle="잘못된 테스트 결과" error="목록에서 Pass, Fail, N/A 중 하나를 선택하세요." promptTitle="테스트 결과" prompt="Pass, Fail, N/A 중 선택하세요." sqref="J12:J111" xr:uid="{F87D5BF8-F4D2-4C43-AF0C-A519C1C4C6C5}">
      <formula1>"Pass,Fail,N/A"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A1AD-A892-4EBF-9E14-DE1A5BCA78C2}">
  <dimension ref="B1:N220"/>
  <sheetViews>
    <sheetView showGridLines="0" zoomScaleNormal="100" workbookViewId="0">
      <pane ySplit="11" topLeftCell="A12" activePane="bottomLeft" state="frozen"/>
      <selection pane="bottomLeft" activeCell="L12" sqref="L12:N14"/>
    </sheetView>
  </sheetViews>
  <sheetFormatPr defaultColWidth="8.7109375" defaultRowHeight="15"/>
  <cols>
    <col min="1" max="1" width="2.5703125" style="9" customWidth="1"/>
    <col min="2" max="2" width="4.5703125" style="9" bestFit="1" customWidth="1"/>
    <col min="3" max="3" width="13.28515625" style="17" customWidth="1"/>
    <col min="4" max="4" width="13.7109375" style="17" customWidth="1"/>
    <col min="5" max="5" width="14" style="17" customWidth="1"/>
    <col min="6" max="6" width="20" style="17" customWidth="1"/>
    <col min="7" max="7" width="22" style="17" customWidth="1"/>
    <col min="8" max="8" width="34" style="9" customWidth="1"/>
    <col min="9" max="9" width="52.42578125" style="9" customWidth="1"/>
    <col min="10" max="10" width="11" style="9" customWidth="1"/>
    <col min="11" max="11" width="24" style="9" customWidth="1"/>
    <col min="12" max="12" width="14.85546875" style="9" customWidth="1"/>
    <col min="13" max="13" width="10" style="9" customWidth="1"/>
    <col min="14" max="14" width="11" style="9" customWidth="1"/>
    <col min="15" max="16384" width="8.7109375" style="9"/>
  </cols>
  <sheetData>
    <row r="1" spans="2:14" ht="15.75" thickBot="1"/>
    <row r="2" spans="2:14" ht="15.75" thickBot="1">
      <c r="K2" s="70" t="s">
        <v>350</v>
      </c>
      <c r="L2" s="71"/>
      <c r="M2" s="71"/>
      <c r="N2" s="72"/>
    </row>
    <row r="3" spans="2:14" ht="15.75" thickBot="1">
      <c r="B3" s="38" t="s">
        <v>348</v>
      </c>
      <c r="C3" s="39"/>
      <c r="D3" s="40"/>
      <c r="K3" s="73" t="s">
        <v>351</v>
      </c>
      <c r="L3" s="74"/>
      <c r="M3" s="74"/>
      <c r="N3" s="75"/>
    </row>
    <row r="4" spans="2:14" ht="17.25" thickBot="1">
      <c r="B4" s="45" t="s">
        <v>349</v>
      </c>
      <c r="C4" s="46"/>
      <c r="D4" s="47"/>
      <c r="K4" s="76" t="s">
        <v>352</v>
      </c>
      <c r="L4" s="77"/>
      <c r="M4" s="77"/>
      <c r="N4" s="78"/>
    </row>
    <row r="5" spans="2:14" ht="16.5">
      <c r="B5" s="57" t="s">
        <v>358</v>
      </c>
      <c r="C5" s="58"/>
      <c r="D5" s="59"/>
      <c r="K5" s="42" t="s">
        <v>76</v>
      </c>
      <c r="L5" s="79">
        <f>COUNTIF(J:J,"Pass")</f>
        <v>1</v>
      </c>
      <c r="M5" s="80"/>
      <c r="N5" s="81"/>
    </row>
    <row r="6" spans="2:14" ht="16.5">
      <c r="B6" s="60" t="s">
        <v>359</v>
      </c>
      <c r="C6" s="61"/>
      <c r="D6" s="62"/>
      <c r="K6" s="41" t="s">
        <v>353</v>
      </c>
      <c r="L6" s="82">
        <f>COUNTIF(J:J,"Fail")</f>
        <v>1</v>
      </c>
      <c r="M6" s="83"/>
      <c r="N6" s="84"/>
    </row>
    <row r="7" spans="2:14" ht="16.5">
      <c r="B7" s="60" t="s">
        <v>357</v>
      </c>
      <c r="C7" s="61"/>
      <c r="D7" s="62"/>
      <c r="K7" s="41" t="s">
        <v>354</v>
      </c>
      <c r="L7" s="82">
        <f>COUNTIF(J:J,"N/A")</f>
        <v>1</v>
      </c>
      <c r="M7" s="83"/>
      <c r="N7" s="84"/>
    </row>
    <row r="8" spans="2:14" ht="17.25" thickBot="1">
      <c r="B8" s="63" t="s">
        <v>360</v>
      </c>
      <c r="C8" s="64"/>
      <c r="D8" s="65"/>
      <c r="K8" s="44" t="s">
        <v>356</v>
      </c>
      <c r="L8" s="67">
        <f>L9-SUM(L5:L7)</f>
        <v>97</v>
      </c>
      <c r="M8" s="68"/>
      <c r="N8" s="69"/>
    </row>
    <row r="9" spans="2:14" ht="15.75" thickBot="1">
      <c r="B9" s="66"/>
      <c r="C9" s="66"/>
      <c r="D9" s="66"/>
      <c r="K9" s="43" t="s">
        <v>355</v>
      </c>
      <c r="L9" s="54">
        <f>COUNT(B:B)</f>
        <v>100</v>
      </c>
      <c r="M9" s="55"/>
      <c r="N9" s="56"/>
    </row>
    <row r="11" spans="2:14">
      <c r="B11" s="26" t="s">
        <v>2</v>
      </c>
      <c r="C11" s="26" t="s">
        <v>74</v>
      </c>
      <c r="D11" s="26" t="s">
        <v>65</v>
      </c>
      <c r="E11" s="26" t="s">
        <v>66</v>
      </c>
      <c r="F11" s="26" t="s">
        <v>67</v>
      </c>
      <c r="G11" s="27" t="s">
        <v>68</v>
      </c>
      <c r="H11" s="27" t="s">
        <v>69</v>
      </c>
      <c r="I11" s="27" t="s">
        <v>75</v>
      </c>
      <c r="J11" s="28" t="s">
        <v>70</v>
      </c>
      <c r="K11" s="29" t="s">
        <v>3</v>
      </c>
      <c r="L11" s="30" t="s">
        <v>71</v>
      </c>
      <c r="M11" s="27" t="s">
        <v>72</v>
      </c>
      <c r="N11" s="28" t="s">
        <v>73</v>
      </c>
    </row>
    <row r="12" spans="2:14">
      <c r="B12" s="23">
        <f>ROW()-11</f>
        <v>1</v>
      </c>
      <c r="C12" s="21" t="s">
        <v>91</v>
      </c>
      <c r="D12" s="92" t="s">
        <v>123</v>
      </c>
      <c r="E12" s="85" t="s">
        <v>89</v>
      </c>
      <c r="F12" s="16" t="s">
        <v>124</v>
      </c>
      <c r="G12" s="14"/>
      <c r="H12" s="11" t="s">
        <v>78</v>
      </c>
      <c r="I12" s="11" t="s">
        <v>80</v>
      </c>
      <c r="J12" s="5" t="s">
        <v>0</v>
      </c>
      <c r="K12" s="11"/>
      <c r="L12" s="2"/>
      <c r="M12" s="1"/>
      <c r="N12" s="4"/>
    </row>
    <row r="13" spans="2:14" ht="48">
      <c r="B13" s="23">
        <f t="shared" ref="B13:B76" si="0">ROW()-11</f>
        <v>2</v>
      </c>
      <c r="C13" s="93" t="s">
        <v>122</v>
      </c>
      <c r="D13" s="92"/>
      <c r="E13" s="85"/>
      <c r="F13" s="85" t="s">
        <v>106</v>
      </c>
      <c r="G13" s="100" t="s">
        <v>79</v>
      </c>
      <c r="H13" s="19" t="s">
        <v>148</v>
      </c>
      <c r="I13" s="11" t="s">
        <v>86</v>
      </c>
      <c r="J13" s="5" t="s">
        <v>1</v>
      </c>
      <c r="K13" s="11"/>
      <c r="L13" s="2"/>
      <c r="M13" s="1"/>
      <c r="N13" s="4"/>
    </row>
    <row r="14" spans="2:14" ht="24">
      <c r="B14" s="23">
        <f t="shared" si="0"/>
        <v>3</v>
      </c>
      <c r="C14" s="93"/>
      <c r="D14" s="92"/>
      <c r="E14" s="85"/>
      <c r="F14" s="85"/>
      <c r="G14" s="100"/>
      <c r="H14" s="19" t="s">
        <v>149</v>
      </c>
      <c r="I14" s="11" t="s">
        <v>82</v>
      </c>
      <c r="J14" s="5" t="s">
        <v>77</v>
      </c>
      <c r="K14" s="11"/>
      <c r="L14" s="2"/>
      <c r="M14" s="1"/>
      <c r="N14" s="4"/>
    </row>
    <row r="15" spans="2:14">
      <c r="B15" s="23">
        <f t="shared" si="0"/>
        <v>4</v>
      </c>
      <c r="C15" s="93"/>
      <c r="D15" s="92"/>
      <c r="E15" s="85"/>
      <c r="F15" s="85"/>
      <c r="G15" s="100"/>
      <c r="H15" s="19" t="s">
        <v>85</v>
      </c>
      <c r="I15" s="11" t="s">
        <v>84</v>
      </c>
      <c r="J15" s="5"/>
      <c r="K15" s="11"/>
      <c r="L15" s="2"/>
      <c r="M15" s="1"/>
      <c r="N15" s="4"/>
    </row>
    <row r="16" spans="2:14" ht="36">
      <c r="B16" s="23">
        <f t="shared" si="0"/>
        <v>5</v>
      </c>
      <c r="C16" s="93"/>
      <c r="D16" s="92"/>
      <c r="E16" s="85"/>
      <c r="F16" s="16" t="s">
        <v>90</v>
      </c>
      <c r="G16" s="24" t="s">
        <v>87</v>
      </c>
      <c r="H16" s="19" t="s">
        <v>280</v>
      </c>
      <c r="I16" s="11" t="s">
        <v>88</v>
      </c>
      <c r="J16" s="5"/>
      <c r="K16" s="11"/>
      <c r="L16" s="2"/>
      <c r="M16" s="1"/>
      <c r="N16" s="4"/>
    </row>
    <row r="17" spans="2:14" ht="24">
      <c r="B17" s="23">
        <f t="shared" si="0"/>
        <v>6</v>
      </c>
      <c r="C17" s="93"/>
      <c r="D17" s="92"/>
      <c r="E17" s="85"/>
      <c r="F17" s="21" t="s">
        <v>93</v>
      </c>
      <c r="G17" s="25" t="s">
        <v>91</v>
      </c>
      <c r="H17" s="19" t="s">
        <v>281</v>
      </c>
      <c r="I17" s="11" t="s">
        <v>92</v>
      </c>
      <c r="J17" s="5"/>
      <c r="K17" s="11"/>
      <c r="L17" s="2"/>
      <c r="M17" s="1"/>
      <c r="N17" s="4"/>
    </row>
    <row r="18" spans="2:14" ht="48">
      <c r="B18" s="23">
        <f t="shared" si="0"/>
        <v>7</v>
      </c>
      <c r="C18" s="93"/>
      <c r="D18" s="86" t="s">
        <v>125</v>
      </c>
      <c r="E18" s="86" t="s">
        <v>106</v>
      </c>
      <c r="F18" s="93" t="s">
        <v>152</v>
      </c>
      <c r="G18" s="97" t="s">
        <v>118</v>
      </c>
      <c r="H18" s="19" t="s">
        <v>148</v>
      </c>
      <c r="I18" s="11" t="s">
        <v>86</v>
      </c>
      <c r="J18" s="5"/>
      <c r="K18" s="11"/>
      <c r="L18" s="2"/>
      <c r="M18" s="1"/>
      <c r="N18" s="4"/>
    </row>
    <row r="19" spans="2:14" ht="24">
      <c r="B19" s="23">
        <f t="shared" si="0"/>
        <v>8</v>
      </c>
      <c r="C19" s="93"/>
      <c r="D19" s="87"/>
      <c r="E19" s="87"/>
      <c r="F19" s="93"/>
      <c r="G19" s="98"/>
      <c r="H19" s="19" t="s">
        <v>149</v>
      </c>
      <c r="I19" s="11" t="s">
        <v>95</v>
      </c>
      <c r="J19" s="5"/>
      <c r="K19" s="11"/>
      <c r="L19" s="2"/>
      <c r="M19" s="1"/>
      <c r="N19" s="4"/>
    </row>
    <row r="20" spans="2:14">
      <c r="B20" s="23">
        <f t="shared" si="0"/>
        <v>9</v>
      </c>
      <c r="C20" s="93"/>
      <c r="D20" s="87"/>
      <c r="E20" s="87"/>
      <c r="F20" s="86" t="s">
        <v>323</v>
      </c>
      <c r="G20" s="98" t="s">
        <v>118</v>
      </c>
      <c r="H20" s="19" t="s">
        <v>96</v>
      </c>
      <c r="I20" s="11" t="s">
        <v>103</v>
      </c>
      <c r="J20" s="5"/>
      <c r="K20" s="11"/>
      <c r="L20" s="2"/>
      <c r="M20" s="1"/>
      <c r="N20" s="4"/>
    </row>
    <row r="21" spans="2:14">
      <c r="B21" s="23">
        <f t="shared" si="0"/>
        <v>10</v>
      </c>
      <c r="C21" s="93"/>
      <c r="D21" s="87"/>
      <c r="E21" s="87"/>
      <c r="F21" s="87"/>
      <c r="G21" s="98"/>
      <c r="H21" s="19" t="s">
        <v>96</v>
      </c>
      <c r="I21" s="11" t="s">
        <v>104</v>
      </c>
      <c r="J21" s="5"/>
      <c r="K21" s="11"/>
      <c r="L21" s="2"/>
      <c r="M21" s="1"/>
      <c r="N21" s="4"/>
    </row>
    <row r="22" spans="2:14">
      <c r="B22" s="23">
        <f t="shared" si="0"/>
        <v>11</v>
      </c>
      <c r="C22" s="93"/>
      <c r="D22" s="87"/>
      <c r="E22" s="87"/>
      <c r="F22" s="88"/>
      <c r="G22" s="99"/>
      <c r="H22" s="19" t="s">
        <v>96</v>
      </c>
      <c r="I22" s="11" t="s">
        <v>102</v>
      </c>
      <c r="J22" s="5"/>
      <c r="K22" s="11"/>
      <c r="L22" s="2"/>
      <c r="M22" s="1"/>
      <c r="N22" s="4"/>
    </row>
    <row r="23" spans="2:14" ht="24">
      <c r="B23" s="23">
        <f t="shared" si="0"/>
        <v>12</v>
      </c>
      <c r="C23" s="93"/>
      <c r="D23" s="87"/>
      <c r="E23" s="87"/>
      <c r="F23" s="86" t="s">
        <v>98</v>
      </c>
      <c r="G23" s="86" t="s">
        <v>94</v>
      </c>
      <c r="H23" s="19" t="s">
        <v>97</v>
      </c>
      <c r="I23" s="11" t="s">
        <v>100</v>
      </c>
      <c r="J23" s="5"/>
      <c r="K23" s="11"/>
      <c r="L23" s="2"/>
      <c r="M23" s="1"/>
      <c r="N23" s="4"/>
    </row>
    <row r="24" spans="2:14" ht="24">
      <c r="B24" s="23">
        <f t="shared" si="0"/>
        <v>13</v>
      </c>
      <c r="C24" s="93"/>
      <c r="D24" s="87"/>
      <c r="E24" s="88"/>
      <c r="F24" s="88"/>
      <c r="G24" s="88"/>
      <c r="H24" s="19" t="s">
        <v>97</v>
      </c>
      <c r="I24" s="11" t="s">
        <v>101</v>
      </c>
      <c r="J24" s="5"/>
      <c r="K24" s="11"/>
      <c r="L24" s="2"/>
      <c r="M24" s="1"/>
      <c r="N24" s="4"/>
    </row>
    <row r="25" spans="2:14" ht="24">
      <c r="B25" s="23">
        <f t="shared" si="0"/>
        <v>14</v>
      </c>
      <c r="C25" s="93"/>
      <c r="D25" s="87"/>
      <c r="E25" s="86" t="s">
        <v>121</v>
      </c>
      <c r="F25" s="16"/>
      <c r="G25" s="25" t="s">
        <v>4</v>
      </c>
      <c r="H25" s="19" t="s">
        <v>109</v>
      </c>
      <c r="I25" s="11" t="s">
        <v>99</v>
      </c>
      <c r="J25" s="5"/>
      <c r="K25" s="11"/>
      <c r="L25" s="2"/>
      <c r="M25" s="1"/>
      <c r="N25" s="4"/>
    </row>
    <row r="26" spans="2:14">
      <c r="B26" s="23">
        <f t="shared" si="0"/>
        <v>15</v>
      </c>
      <c r="C26" s="93"/>
      <c r="D26" s="87"/>
      <c r="E26" s="88"/>
      <c r="F26" s="18"/>
      <c r="G26" s="25" t="s">
        <v>5</v>
      </c>
      <c r="H26" s="19" t="s">
        <v>108</v>
      </c>
      <c r="I26" s="13" t="s">
        <v>105</v>
      </c>
      <c r="J26" s="5"/>
      <c r="K26" s="11"/>
      <c r="L26" s="2"/>
      <c r="M26" s="1"/>
      <c r="N26" s="4"/>
    </row>
    <row r="27" spans="2:14" ht="24">
      <c r="B27" s="23">
        <f t="shared" si="0"/>
        <v>16</v>
      </c>
      <c r="C27" s="93"/>
      <c r="D27" s="87"/>
      <c r="E27" s="89" t="s">
        <v>93</v>
      </c>
      <c r="F27" s="89" t="s">
        <v>119</v>
      </c>
      <c r="G27" s="86" t="s">
        <v>94</v>
      </c>
      <c r="H27" s="19" t="s">
        <v>107</v>
      </c>
      <c r="I27" s="11" t="s">
        <v>110</v>
      </c>
      <c r="J27" s="5"/>
      <c r="K27" s="11"/>
      <c r="L27" s="2"/>
      <c r="M27" s="1"/>
      <c r="N27" s="4"/>
    </row>
    <row r="28" spans="2:14" ht="24">
      <c r="B28" s="23">
        <f t="shared" si="0"/>
        <v>17</v>
      </c>
      <c r="C28" s="93"/>
      <c r="D28" s="87"/>
      <c r="E28" s="90"/>
      <c r="F28" s="90"/>
      <c r="G28" s="87"/>
      <c r="H28" s="19" t="s">
        <v>282</v>
      </c>
      <c r="I28" s="11" t="s">
        <v>111</v>
      </c>
      <c r="J28" s="5"/>
      <c r="K28" s="11"/>
      <c r="L28" s="2"/>
      <c r="M28" s="1"/>
      <c r="N28" s="4"/>
    </row>
    <row r="29" spans="2:14" ht="24">
      <c r="B29" s="23">
        <f t="shared" si="0"/>
        <v>18</v>
      </c>
      <c r="C29" s="93"/>
      <c r="D29" s="87"/>
      <c r="E29" s="90"/>
      <c r="F29" s="90"/>
      <c r="G29" s="87"/>
      <c r="H29" s="19" t="s">
        <v>283</v>
      </c>
      <c r="I29" s="11" t="s">
        <v>112</v>
      </c>
      <c r="J29" s="5"/>
      <c r="K29" s="11"/>
      <c r="L29" s="2"/>
      <c r="M29" s="1"/>
      <c r="N29" s="4"/>
    </row>
    <row r="30" spans="2:14" ht="24">
      <c r="B30" s="23">
        <f t="shared" si="0"/>
        <v>19</v>
      </c>
      <c r="C30" s="93"/>
      <c r="D30" s="87"/>
      <c r="E30" s="90"/>
      <c r="F30" s="90"/>
      <c r="G30" s="87"/>
      <c r="H30" s="19" t="s">
        <v>114</v>
      </c>
      <c r="I30" s="11" t="s">
        <v>113</v>
      </c>
      <c r="J30" s="5"/>
      <c r="K30" s="11"/>
      <c r="L30" s="2"/>
      <c r="M30" s="1"/>
      <c r="N30" s="4"/>
    </row>
    <row r="31" spans="2:14">
      <c r="B31" s="23">
        <f t="shared" si="0"/>
        <v>20</v>
      </c>
      <c r="C31" s="93"/>
      <c r="D31" s="87"/>
      <c r="E31" s="90"/>
      <c r="F31" s="90"/>
      <c r="G31" s="87"/>
      <c r="H31" s="19" t="s">
        <v>115</v>
      </c>
      <c r="I31" s="11" t="s">
        <v>192</v>
      </c>
      <c r="J31" s="5"/>
      <c r="K31" s="11"/>
      <c r="L31" s="2"/>
      <c r="M31" s="1"/>
      <c r="N31" s="4"/>
    </row>
    <row r="32" spans="2:14">
      <c r="B32" s="23">
        <f t="shared" si="0"/>
        <v>21</v>
      </c>
      <c r="C32" s="93"/>
      <c r="D32" s="87"/>
      <c r="E32" s="22"/>
      <c r="F32" s="22"/>
      <c r="G32" s="37"/>
      <c r="H32" s="19" t="s">
        <v>345</v>
      </c>
      <c r="I32" s="11" t="s">
        <v>346</v>
      </c>
      <c r="J32" s="5"/>
      <c r="K32" s="11"/>
      <c r="L32" s="2"/>
      <c r="M32" s="1"/>
      <c r="N32" s="4"/>
    </row>
    <row r="33" spans="2:14">
      <c r="B33" s="23">
        <f t="shared" si="0"/>
        <v>22</v>
      </c>
      <c r="C33" s="93"/>
      <c r="D33" s="87"/>
      <c r="E33" s="22"/>
      <c r="F33" s="22"/>
      <c r="G33" s="37"/>
      <c r="H33" s="19" t="s">
        <v>347</v>
      </c>
      <c r="I33" s="11" t="s">
        <v>346</v>
      </c>
      <c r="J33" s="5"/>
      <c r="K33" s="11"/>
      <c r="L33" s="2"/>
      <c r="M33" s="1"/>
      <c r="N33" s="4"/>
    </row>
    <row r="34" spans="2:14" ht="24">
      <c r="B34" s="23">
        <f t="shared" si="0"/>
        <v>23</v>
      </c>
      <c r="C34" s="93"/>
      <c r="D34" s="88"/>
      <c r="E34" s="21" t="s">
        <v>121</v>
      </c>
      <c r="F34" s="16" t="s">
        <v>120</v>
      </c>
      <c r="G34" s="24" t="s">
        <v>126</v>
      </c>
      <c r="H34" s="19" t="s">
        <v>117</v>
      </c>
      <c r="I34" s="11" t="s">
        <v>116</v>
      </c>
      <c r="J34" s="5"/>
      <c r="K34" s="11"/>
      <c r="L34" s="2"/>
      <c r="M34" s="1"/>
      <c r="N34" s="4"/>
    </row>
    <row r="35" spans="2:14" ht="48">
      <c r="B35" s="23">
        <f t="shared" si="0"/>
        <v>24</v>
      </c>
      <c r="C35" s="94" t="s">
        <v>58</v>
      </c>
      <c r="D35" s="94" t="s">
        <v>127</v>
      </c>
      <c r="E35" s="89" t="s">
        <v>9</v>
      </c>
      <c r="F35" s="21" t="s">
        <v>152</v>
      </c>
      <c r="G35" s="31" t="s">
        <v>129</v>
      </c>
      <c r="H35" s="32" t="s">
        <v>130</v>
      </c>
      <c r="I35" s="33" t="s">
        <v>131</v>
      </c>
      <c r="J35" s="5"/>
      <c r="K35" s="11"/>
      <c r="L35" s="2"/>
      <c r="M35" s="1"/>
      <c r="N35" s="4"/>
    </row>
    <row r="36" spans="2:14">
      <c r="B36" s="23">
        <f t="shared" si="0"/>
        <v>25</v>
      </c>
      <c r="C36" s="95"/>
      <c r="D36" s="95"/>
      <c r="E36" s="90"/>
      <c r="F36" s="21" t="s">
        <v>90</v>
      </c>
      <c r="G36" s="31" t="s">
        <v>129</v>
      </c>
      <c r="H36" s="32" t="s">
        <v>147</v>
      </c>
      <c r="I36" s="34" t="s">
        <v>150</v>
      </c>
      <c r="J36" s="5"/>
      <c r="K36" s="11"/>
      <c r="L36" s="2"/>
      <c r="M36" s="1"/>
      <c r="N36" s="4"/>
    </row>
    <row r="37" spans="2:14" ht="24">
      <c r="B37" s="23">
        <f t="shared" si="0"/>
        <v>26</v>
      </c>
      <c r="C37" s="95"/>
      <c r="D37" s="95"/>
      <c r="E37" s="90"/>
      <c r="F37" s="31" t="s">
        <v>132</v>
      </c>
      <c r="G37" s="31" t="s">
        <v>129</v>
      </c>
      <c r="H37" s="32" t="s">
        <v>151</v>
      </c>
      <c r="I37" s="32" t="s">
        <v>81</v>
      </c>
      <c r="J37" s="5"/>
      <c r="K37" s="11"/>
      <c r="L37" s="2"/>
      <c r="M37" s="1"/>
      <c r="N37" s="4"/>
    </row>
    <row r="38" spans="2:14">
      <c r="B38" s="23">
        <f t="shared" si="0"/>
        <v>27</v>
      </c>
      <c r="C38" s="95"/>
      <c r="D38" s="95"/>
      <c r="E38" s="90"/>
      <c r="F38" s="94" t="s">
        <v>10</v>
      </c>
      <c r="G38" s="94" t="s">
        <v>129</v>
      </c>
      <c r="H38" s="32" t="s">
        <v>11</v>
      </c>
      <c r="I38" s="33" t="s">
        <v>134</v>
      </c>
      <c r="J38" s="5"/>
      <c r="K38" s="11"/>
      <c r="L38" s="2"/>
      <c r="M38" s="1"/>
      <c r="N38" s="4"/>
    </row>
    <row r="39" spans="2:14">
      <c r="B39" s="23">
        <f t="shared" si="0"/>
        <v>28</v>
      </c>
      <c r="C39" s="95"/>
      <c r="D39" s="95"/>
      <c r="E39" s="90"/>
      <c r="F39" s="96"/>
      <c r="G39" s="96"/>
      <c r="H39" s="32" t="s">
        <v>11</v>
      </c>
      <c r="I39" s="33" t="s">
        <v>135</v>
      </c>
      <c r="J39" s="5"/>
      <c r="K39" s="11"/>
      <c r="L39" s="2"/>
      <c r="M39" s="1"/>
      <c r="N39" s="4"/>
    </row>
    <row r="40" spans="2:14">
      <c r="B40" s="23">
        <f t="shared" si="0"/>
        <v>29</v>
      </c>
      <c r="C40" s="95"/>
      <c r="D40" s="95"/>
      <c r="E40" s="31" t="s">
        <v>136</v>
      </c>
      <c r="F40" s="31" t="s">
        <v>137</v>
      </c>
      <c r="G40" s="31" t="s">
        <v>129</v>
      </c>
      <c r="H40" s="32" t="s">
        <v>138</v>
      </c>
      <c r="I40" s="33" t="s">
        <v>83</v>
      </c>
      <c r="J40" s="5"/>
      <c r="K40" s="11"/>
      <c r="L40" s="2"/>
      <c r="M40" s="1"/>
      <c r="N40" s="4"/>
    </row>
    <row r="41" spans="2:14">
      <c r="B41" s="23">
        <f t="shared" si="0"/>
        <v>30</v>
      </c>
      <c r="C41" s="95"/>
      <c r="D41" s="95"/>
      <c r="E41" s="94" t="s">
        <v>12</v>
      </c>
      <c r="F41" s="31" t="s">
        <v>139</v>
      </c>
      <c r="G41" s="31" t="s">
        <v>129</v>
      </c>
      <c r="H41" s="32" t="s">
        <v>284</v>
      </c>
      <c r="I41" s="32" t="s">
        <v>140</v>
      </c>
      <c r="J41" s="5"/>
      <c r="K41" s="11"/>
      <c r="L41" s="2"/>
      <c r="M41" s="1"/>
      <c r="N41" s="4"/>
    </row>
    <row r="42" spans="2:14" ht="24">
      <c r="B42" s="23">
        <f t="shared" si="0"/>
        <v>31</v>
      </c>
      <c r="C42" s="95"/>
      <c r="D42" s="95"/>
      <c r="E42" s="95"/>
      <c r="F42" s="97" t="s">
        <v>159</v>
      </c>
      <c r="G42" s="94" t="s">
        <v>129</v>
      </c>
      <c r="H42" s="32" t="s">
        <v>141</v>
      </c>
      <c r="I42" s="33" t="s">
        <v>142</v>
      </c>
      <c r="J42" s="5"/>
      <c r="K42" s="11"/>
      <c r="L42" s="2"/>
      <c r="M42" s="1"/>
      <c r="N42" s="4"/>
    </row>
    <row r="43" spans="2:14" ht="24">
      <c r="B43" s="23">
        <f t="shared" si="0"/>
        <v>32</v>
      </c>
      <c r="C43" s="95"/>
      <c r="D43" s="95"/>
      <c r="E43" s="95"/>
      <c r="F43" s="99"/>
      <c r="G43" s="96"/>
      <c r="H43" s="32" t="s">
        <v>143</v>
      </c>
      <c r="I43" s="33" t="s">
        <v>144</v>
      </c>
      <c r="J43" s="5"/>
      <c r="K43" s="11"/>
      <c r="L43" s="2"/>
      <c r="M43" s="1"/>
      <c r="N43" s="4"/>
    </row>
    <row r="44" spans="2:14">
      <c r="B44" s="23">
        <f t="shared" si="0"/>
        <v>33</v>
      </c>
      <c r="C44" s="95"/>
      <c r="D44" s="95"/>
      <c r="E44" s="95"/>
      <c r="F44" s="89" t="s">
        <v>160</v>
      </c>
      <c r="G44" s="94" t="s">
        <v>129</v>
      </c>
      <c r="H44" s="32" t="s">
        <v>154</v>
      </c>
      <c r="I44" s="33" t="s">
        <v>145</v>
      </c>
      <c r="J44" s="6"/>
      <c r="K44" s="10"/>
      <c r="L44" s="1"/>
      <c r="M44" s="2"/>
      <c r="N44" s="4"/>
    </row>
    <row r="45" spans="2:14">
      <c r="B45" s="23">
        <f t="shared" si="0"/>
        <v>34</v>
      </c>
      <c r="C45" s="95"/>
      <c r="D45" s="95"/>
      <c r="E45" s="95"/>
      <c r="F45" s="91"/>
      <c r="G45" s="96"/>
      <c r="H45" s="32" t="s">
        <v>155</v>
      </c>
      <c r="I45" s="33" t="s">
        <v>145</v>
      </c>
      <c r="J45" s="7"/>
      <c r="K45" s="10"/>
      <c r="L45" s="1"/>
      <c r="M45" s="2"/>
      <c r="N45" s="4"/>
    </row>
    <row r="46" spans="2:14">
      <c r="B46" s="23">
        <f t="shared" si="0"/>
        <v>35</v>
      </c>
      <c r="C46" s="95"/>
      <c r="D46" s="95"/>
      <c r="E46" s="96"/>
      <c r="F46" s="21" t="s">
        <v>161</v>
      </c>
      <c r="G46" s="31" t="s">
        <v>129</v>
      </c>
      <c r="H46" s="32" t="s">
        <v>153</v>
      </c>
      <c r="I46" s="33" t="s">
        <v>146</v>
      </c>
      <c r="J46" s="5"/>
      <c r="K46" s="11"/>
      <c r="L46" s="2"/>
      <c r="M46" s="1"/>
      <c r="N46" s="4"/>
    </row>
    <row r="47" spans="2:14">
      <c r="B47" s="23">
        <f t="shared" si="0"/>
        <v>36</v>
      </c>
      <c r="C47" s="96"/>
      <c r="D47" s="96"/>
      <c r="E47" s="31" t="s">
        <v>158</v>
      </c>
      <c r="F47" s="21" t="s">
        <v>93</v>
      </c>
      <c r="G47" s="31" t="s">
        <v>129</v>
      </c>
      <c r="H47" s="32" t="s">
        <v>156</v>
      </c>
      <c r="I47" s="34" t="s">
        <v>157</v>
      </c>
      <c r="J47" s="5"/>
      <c r="K47" s="11"/>
      <c r="L47" s="2"/>
      <c r="M47" s="1"/>
      <c r="N47" s="4"/>
    </row>
    <row r="48" spans="2:14">
      <c r="B48" s="23">
        <f t="shared" si="0"/>
        <v>37</v>
      </c>
      <c r="C48" s="85" t="s">
        <v>162</v>
      </c>
      <c r="D48" s="85" t="s">
        <v>163</v>
      </c>
      <c r="E48" s="89" t="s">
        <v>9</v>
      </c>
      <c r="F48" s="21" t="s">
        <v>93</v>
      </c>
      <c r="G48" s="16" t="s">
        <v>164</v>
      </c>
      <c r="H48" s="32" t="s">
        <v>285</v>
      </c>
      <c r="I48" s="35" t="s">
        <v>165</v>
      </c>
      <c r="J48" s="8"/>
      <c r="K48" s="10"/>
      <c r="L48" s="1"/>
      <c r="M48" s="1"/>
      <c r="N48" s="4"/>
    </row>
    <row r="49" spans="2:14" ht="36">
      <c r="B49" s="23">
        <f t="shared" si="0"/>
        <v>38</v>
      </c>
      <c r="C49" s="85"/>
      <c r="D49" s="85"/>
      <c r="E49" s="90"/>
      <c r="F49" s="16" t="s">
        <v>128</v>
      </c>
      <c r="G49" s="16" t="s">
        <v>166</v>
      </c>
      <c r="H49" s="32" t="s">
        <v>130</v>
      </c>
      <c r="I49" s="35" t="s">
        <v>167</v>
      </c>
      <c r="J49" s="8"/>
      <c r="K49" s="10"/>
      <c r="L49" s="1"/>
      <c r="M49" s="1"/>
      <c r="N49" s="4"/>
    </row>
    <row r="50" spans="2:14">
      <c r="B50" s="23">
        <f t="shared" si="0"/>
        <v>39</v>
      </c>
      <c r="C50" s="85"/>
      <c r="D50" s="85"/>
      <c r="E50" s="90"/>
      <c r="F50" s="85" t="s">
        <v>13</v>
      </c>
      <c r="G50" s="86" t="s">
        <v>166</v>
      </c>
      <c r="H50" s="32" t="s">
        <v>168</v>
      </c>
      <c r="I50" s="34" t="s">
        <v>191</v>
      </c>
      <c r="J50" s="8"/>
      <c r="K50" s="10"/>
      <c r="L50" s="1"/>
      <c r="M50" s="1"/>
      <c r="N50" s="4"/>
    </row>
    <row r="51" spans="2:14">
      <c r="B51" s="23">
        <f t="shared" si="0"/>
        <v>40</v>
      </c>
      <c r="C51" s="85"/>
      <c r="D51" s="85"/>
      <c r="E51" s="90"/>
      <c r="F51" s="85"/>
      <c r="G51" s="88"/>
      <c r="H51" s="32" t="s">
        <v>168</v>
      </c>
      <c r="I51" s="35" t="s">
        <v>169</v>
      </c>
      <c r="J51" s="8"/>
      <c r="K51" s="10"/>
      <c r="L51" s="1"/>
      <c r="M51" s="1"/>
      <c r="N51" s="4"/>
    </row>
    <row r="52" spans="2:14">
      <c r="B52" s="23">
        <f t="shared" si="0"/>
        <v>41</v>
      </c>
      <c r="C52" s="85"/>
      <c r="D52" s="85"/>
      <c r="E52" s="90"/>
      <c r="F52" s="85" t="s">
        <v>170</v>
      </c>
      <c r="G52" s="86" t="s">
        <v>166</v>
      </c>
      <c r="H52" s="32" t="s">
        <v>171</v>
      </c>
      <c r="I52" s="35" t="s">
        <v>134</v>
      </c>
      <c r="J52" s="8"/>
      <c r="K52" s="10"/>
      <c r="L52" s="1"/>
      <c r="M52" s="1"/>
      <c r="N52" s="4"/>
    </row>
    <row r="53" spans="2:14">
      <c r="B53" s="23">
        <f t="shared" si="0"/>
        <v>42</v>
      </c>
      <c r="C53" s="85"/>
      <c r="D53" s="85"/>
      <c r="E53" s="90"/>
      <c r="F53" s="85"/>
      <c r="G53" s="88"/>
      <c r="H53" s="32" t="s">
        <v>172</v>
      </c>
      <c r="I53" s="35" t="s">
        <v>173</v>
      </c>
      <c r="J53" s="8"/>
      <c r="K53" s="10"/>
      <c r="L53" s="1"/>
      <c r="M53" s="1"/>
      <c r="N53" s="4"/>
    </row>
    <row r="54" spans="2:14">
      <c r="B54" s="23">
        <f t="shared" si="0"/>
        <v>43</v>
      </c>
      <c r="C54" s="85"/>
      <c r="D54" s="85"/>
      <c r="E54" s="90"/>
      <c r="F54" s="16" t="s">
        <v>14</v>
      </c>
      <c r="G54" s="16" t="s">
        <v>166</v>
      </c>
      <c r="H54" s="32" t="s">
        <v>15</v>
      </c>
      <c r="I54" s="35" t="s">
        <v>174</v>
      </c>
      <c r="J54" s="8"/>
      <c r="K54" s="10"/>
      <c r="L54" s="1"/>
      <c r="M54" s="1"/>
      <c r="N54" s="4"/>
    </row>
    <row r="55" spans="2:14">
      <c r="B55" s="23">
        <f t="shared" si="0"/>
        <v>44</v>
      </c>
      <c r="C55" s="85"/>
      <c r="D55" s="85"/>
      <c r="E55" s="91"/>
      <c r="F55" s="16" t="s">
        <v>175</v>
      </c>
      <c r="G55" s="16" t="s">
        <v>166</v>
      </c>
      <c r="H55" s="32" t="s">
        <v>176</v>
      </c>
      <c r="I55" s="32" t="s">
        <v>177</v>
      </c>
      <c r="J55" s="8"/>
      <c r="K55" s="10"/>
      <c r="L55" s="1"/>
      <c r="M55" s="1"/>
      <c r="N55" s="4"/>
    </row>
    <row r="56" spans="2:14">
      <c r="B56" s="23">
        <f t="shared" si="0"/>
        <v>45</v>
      </c>
      <c r="C56" s="85"/>
      <c r="D56" s="85"/>
      <c r="E56" s="16" t="s">
        <v>178</v>
      </c>
      <c r="F56" s="16" t="s">
        <v>179</v>
      </c>
      <c r="G56" s="16" t="s">
        <v>166</v>
      </c>
      <c r="H56" s="32" t="s">
        <v>286</v>
      </c>
      <c r="I56" s="34" t="s">
        <v>193</v>
      </c>
      <c r="J56" s="8"/>
      <c r="K56" s="10"/>
      <c r="L56" s="1"/>
      <c r="M56" s="1"/>
      <c r="N56" s="4"/>
    </row>
    <row r="57" spans="2:14">
      <c r="B57" s="23">
        <f t="shared" si="0"/>
        <v>46</v>
      </c>
      <c r="C57" s="85"/>
      <c r="D57" s="85"/>
      <c r="E57" s="85" t="s">
        <v>180</v>
      </c>
      <c r="F57" s="16" t="s">
        <v>16</v>
      </c>
      <c r="G57" s="16" t="s">
        <v>17</v>
      </c>
      <c r="H57" s="32" t="s">
        <v>287</v>
      </c>
      <c r="I57" s="35" t="s">
        <v>181</v>
      </c>
      <c r="J57" s="8"/>
      <c r="K57" s="10"/>
      <c r="L57" s="1"/>
      <c r="M57" s="1"/>
      <c r="N57" s="4"/>
    </row>
    <row r="58" spans="2:14">
      <c r="B58" s="23">
        <f t="shared" si="0"/>
        <v>47</v>
      </c>
      <c r="C58" s="85"/>
      <c r="D58" s="85"/>
      <c r="E58" s="85"/>
      <c r="F58" s="16" t="s">
        <v>18</v>
      </c>
      <c r="G58" s="16" t="s">
        <v>19</v>
      </c>
      <c r="H58" s="32" t="s">
        <v>288</v>
      </c>
      <c r="I58" s="35" t="s">
        <v>182</v>
      </c>
      <c r="J58" s="8"/>
      <c r="K58" s="10"/>
      <c r="L58" s="1"/>
      <c r="M58" s="1"/>
      <c r="N58" s="4"/>
    </row>
    <row r="59" spans="2:14">
      <c r="B59" s="23">
        <f t="shared" si="0"/>
        <v>48</v>
      </c>
      <c r="C59" s="85"/>
      <c r="D59" s="85"/>
      <c r="E59" s="85"/>
      <c r="F59" s="16" t="s">
        <v>20</v>
      </c>
      <c r="G59" s="16" t="s">
        <v>17</v>
      </c>
      <c r="H59" s="32" t="s">
        <v>289</v>
      </c>
      <c r="I59" s="32" t="s">
        <v>194</v>
      </c>
      <c r="J59" s="8"/>
      <c r="K59" s="10"/>
      <c r="L59" s="1"/>
      <c r="M59" s="1"/>
      <c r="N59" s="4"/>
    </row>
    <row r="60" spans="2:14">
      <c r="B60" s="23">
        <f t="shared" si="0"/>
        <v>49</v>
      </c>
      <c r="C60" s="85"/>
      <c r="D60" s="85"/>
      <c r="E60" s="85"/>
      <c r="F60" s="16" t="s">
        <v>21</v>
      </c>
      <c r="G60" s="16" t="s">
        <v>22</v>
      </c>
      <c r="H60" s="32" t="s">
        <v>290</v>
      </c>
      <c r="I60" s="34" t="s">
        <v>195</v>
      </c>
      <c r="J60" s="8"/>
      <c r="K60" s="10"/>
      <c r="L60" s="1"/>
      <c r="M60" s="1"/>
      <c r="N60" s="4"/>
    </row>
    <row r="61" spans="2:14">
      <c r="B61" s="23">
        <f t="shared" si="0"/>
        <v>50</v>
      </c>
      <c r="C61" s="85"/>
      <c r="D61" s="85"/>
      <c r="E61" s="85" t="s">
        <v>23</v>
      </c>
      <c r="F61" s="16" t="s">
        <v>183</v>
      </c>
      <c r="G61" s="16" t="s">
        <v>166</v>
      </c>
      <c r="H61" s="32" t="s">
        <v>291</v>
      </c>
      <c r="I61" s="34" t="s">
        <v>228</v>
      </c>
      <c r="J61" s="8"/>
      <c r="K61" s="10"/>
      <c r="L61" s="1"/>
      <c r="M61" s="1"/>
      <c r="N61" s="4"/>
    </row>
    <row r="62" spans="2:14" ht="24">
      <c r="B62" s="23">
        <f t="shared" si="0"/>
        <v>51</v>
      </c>
      <c r="C62" s="85"/>
      <c r="D62" s="85"/>
      <c r="E62" s="85"/>
      <c r="F62" s="16" t="s">
        <v>184</v>
      </c>
      <c r="G62" s="16" t="s">
        <v>185</v>
      </c>
      <c r="H62" s="32" t="s">
        <v>292</v>
      </c>
      <c r="I62" s="35" t="s">
        <v>186</v>
      </c>
      <c r="J62" s="8"/>
      <c r="K62" s="10"/>
      <c r="L62" s="1"/>
      <c r="M62" s="1"/>
      <c r="N62" s="4"/>
    </row>
    <row r="63" spans="2:14" ht="24">
      <c r="B63" s="23">
        <f t="shared" si="0"/>
        <v>52</v>
      </c>
      <c r="C63" s="85"/>
      <c r="D63" s="85"/>
      <c r="E63" s="21" t="s">
        <v>198</v>
      </c>
      <c r="F63" s="16" t="s">
        <v>30</v>
      </c>
      <c r="G63" s="20" t="s">
        <v>196</v>
      </c>
      <c r="H63" s="32" t="s">
        <v>188</v>
      </c>
      <c r="I63" s="34" t="s">
        <v>197</v>
      </c>
      <c r="J63" s="8"/>
      <c r="K63" s="10"/>
      <c r="L63" s="1"/>
      <c r="M63" s="1"/>
      <c r="N63" s="4"/>
    </row>
    <row r="64" spans="2:14">
      <c r="B64" s="23">
        <f t="shared" si="0"/>
        <v>53</v>
      </c>
      <c r="C64" s="85"/>
      <c r="D64" s="85"/>
      <c r="E64" s="16" t="s">
        <v>189</v>
      </c>
      <c r="F64" s="16" t="s">
        <v>24</v>
      </c>
      <c r="G64" s="16" t="s">
        <v>166</v>
      </c>
      <c r="H64" s="32" t="s">
        <v>293</v>
      </c>
      <c r="I64" s="35" t="s">
        <v>190</v>
      </c>
      <c r="J64" s="8"/>
      <c r="K64" s="10"/>
      <c r="L64" s="1"/>
      <c r="M64" s="1"/>
      <c r="N64" s="4"/>
    </row>
    <row r="65" spans="2:14">
      <c r="B65" s="23">
        <f t="shared" si="0"/>
        <v>54</v>
      </c>
      <c r="C65" s="85"/>
      <c r="D65" s="85"/>
      <c r="E65" s="16" t="s">
        <v>6</v>
      </c>
      <c r="F65" s="16" t="s">
        <v>294</v>
      </c>
      <c r="G65" s="16" t="s">
        <v>166</v>
      </c>
      <c r="H65" s="32" t="s">
        <v>295</v>
      </c>
      <c r="I65" s="35" t="s">
        <v>296</v>
      </c>
      <c r="J65" s="8"/>
      <c r="K65" s="10"/>
      <c r="L65" s="1"/>
      <c r="M65" s="1"/>
      <c r="N65" s="4"/>
    </row>
    <row r="66" spans="2:14">
      <c r="B66" s="23">
        <f t="shared" si="0"/>
        <v>55</v>
      </c>
      <c r="C66" s="85" t="s">
        <v>25</v>
      </c>
      <c r="D66" s="85" t="s">
        <v>199</v>
      </c>
      <c r="E66" s="89" t="s">
        <v>9</v>
      </c>
      <c r="F66" s="16" t="s">
        <v>200</v>
      </c>
      <c r="G66" s="16" t="s">
        <v>201</v>
      </c>
      <c r="H66" s="32" t="s">
        <v>297</v>
      </c>
      <c r="I66" s="35" t="s">
        <v>202</v>
      </c>
      <c r="J66" s="8"/>
      <c r="K66" s="10"/>
      <c r="L66" s="1"/>
      <c r="M66" s="1"/>
      <c r="N66" s="4"/>
    </row>
    <row r="67" spans="2:14" ht="36">
      <c r="B67" s="23">
        <f t="shared" si="0"/>
        <v>56</v>
      </c>
      <c r="C67" s="85"/>
      <c r="D67" s="85"/>
      <c r="E67" s="90"/>
      <c r="F67" s="16" t="s">
        <v>128</v>
      </c>
      <c r="G67" s="16" t="s">
        <v>203</v>
      </c>
      <c r="H67" s="32" t="s">
        <v>130</v>
      </c>
      <c r="I67" s="35" t="s">
        <v>167</v>
      </c>
      <c r="J67" s="8"/>
      <c r="K67" s="10"/>
      <c r="L67" s="1"/>
      <c r="M67" s="1"/>
      <c r="N67" s="4"/>
    </row>
    <row r="68" spans="2:14" ht="24">
      <c r="B68" s="23">
        <f t="shared" si="0"/>
        <v>57</v>
      </c>
      <c r="C68" s="85"/>
      <c r="D68" s="85"/>
      <c r="E68" s="90"/>
      <c r="F68" s="16" t="s">
        <v>132</v>
      </c>
      <c r="G68" s="16" t="s">
        <v>203</v>
      </c>
      <c r="H68" s="32" t="s">
        <v>133</v>
      </c>
      <c r="I68" s="32" t="s">
        <v>204</v>
      </c>
      <c r="J68" s="8"/>
      <c r="K68" s="10"/>
      <c r="L68" s="1"/>
      <c r="M68" s="1"/>
      <c r="N68" s="4"/>
    </row>
    <row r="69" spans="2:14">
      <c r="B69" s="23">
        <f t="shared" si="0"/>
        <v>58</v>
      </c>
      <c r="C69" s="85"/>
      <c r="D69" s="85"/>
      <c r="E69" s="90"/>
      <c r="F69" s="85" t="s">
        <v>205</v>
      </c>
      <c r="G69" s="86" t="s">
        <v>203</v>
      </c>
      <c r="H69" s="32" t="s">
        <v>206</v>
      </c>
      <c r="I69" s="34" t="s">
        <v>229</v>
      </c>
      <c r="J69" s="8"/>
      <c r="K69" s="10"/>
      <c r="L69" s="1"/>
      <c r="M69" s="1"/>
      <c r="N69" s="4"/>
    </row>
    <row r="70" spans="2:14">
      <c r="B70" s="23">
        <f t="shared" si="0"/>
        <v>59</v>
      </c>
      <c r="C70" s="85"/>
      <c r="D70" s="85"/>
      <c r="E70" s="90"/>
      <c r="F70" s="85"/>
      <c r="G70" s="88"/>
      <c r="H70" s="32" t="s">
        <v>207</v>
      </c>
      <c r="I70" s="35" t="s">
        <v>208</v>
      </c>
      <c r="J70" s="8"/>
      <c r="K70" s="10"/>
      <c r="L70" s="1"/>
      <c r="M70" s="1"/>
      <c r="N70" s="4"/>
    </row>
    <row r="71" spans="2:14">
      <c r="B71" s="23">
        <f t="shared" si="0"/>
        <v>60</v>
      </c>
      <c r="C71" s="85"/>
      <c r="D71" s="85"/>
      <c r="E71" s="91"/>
      <c r="F71" s="16" t="s">
        <v>209</v>
      </c>
      <c r="G71" s="16" t="s">
        <v>203</v>
      </c>
      <c r="H71" s="32" t="s">
        <v>210</v>
      </c>
      <c r="I71" s="32" t="s">
        <v>230</v>
      </c>
      <c r="J71" s="8"/>
      <c r="K71" s="10"/>
      <c r="L71" s="1"/>
      <c r="M71" s="1"/>
      <c r="N71" s="4"/>
    </row>
    <row r="72" spans="2:14">
      <c r="B72" s="23">
        <f t="shared" si="0"/>
        <v>61</v>
      </c>
      <c r="C72" s="85"/>
      <c r="D72" s="85"/>
      <c r="E72" s="85" t="s">
        <v>26</v>
      </c>
      <c r="F72" s="16" t="s">
        <v>27</v>
      </c>
      <c r="G72" s="16" t="s">
        <v>28</v>
      </c>
      <c r="H72" s="32" t="s">
        <v>29</v>
      </c>
      <c r="I72" s="35" t="s">
        <v>211</v>
      </c>
      <c r="J72" s="8"/>
      <c r="K72" s="10"/>
      <c r="L72" s="1"/>
      <c r="M72" s="1"/>
      <c r="N72" s="4"/>
    </row>
    <row r="73" spans="2:14">
      <c r="B73" s="23">
        <f t="shared" si="0"/>
        <v>62</v>
      </c>
      <c r="C73" s="85"/>
      <c r="D73" s="85"/>
      <c r="E73" s="85"/>
      <c r="F73" s="16" t="s">
        <v>32</v>
      </c>
      <c r="G73" s="16" t="s">
        <v>212</v>
      </c>
      <c r="H73" s="32" t="s">
        <v>29</v>
      </c>
      <c r="I73" s="35" t="s">
        <v>213</v>
      </c>
      <c r="J73" s="8"/>
      <c r="K73" s="10"/>
      <c r="L73" s="1"/>
      <c r="M73" s="1"/>
      <c r="N73" s="4"/>
    </row>
    <row r="74" spans="2:14">
      <c r="B74" s="23">
        <f t="shared" si="0"/>
        <v>63</v>
      </c>
      <c r="C74" s="85"/>
      <c r="D74" s="85"/>
      <c r="E74" s="85" t="s">
        <v>198</v>
      </c>
      <c r="F74" s="16" t="s">
        <v>30</v>
      </c>
      <c r="G74" s="16" t="s">
        <v>187</v>
      </c>
      <c r="H74" s="32" t="s">
        <v>233</v>
      </c>
      <c r="I74" s="35" t="s">
        <v>231</v>
      </c>
      <c r="J74" s="8"/>
      <c r="K74" s="10"/>
      <c r="L74" s="1"/>
      <c r="M74" s="1"/>
      <c r="N74" s="4"/>
    </row>
    <row r="75" spans="2:14" ht="24">
      <c r="B75" s="23">
        <f t="shared" si="0"/>
        <v>64</v>
      </c>
      <c r="C75" s="85"/>
      <c r="D75" s="85"/>
      <c r="E75" s="85"/>
      <c r="F75" s="16" t="s">
        <v>31</v>
      </c>
      <c r="G75" s="16" t="s">
        <v>214</v>
      </c>
      <c r="H75" s="32" t="s">
        <v>234</v>
      </c>
      <c r="I75" s="35" t="s">
        <v>232</v>
      </c>
      <c r="J75" s="8"/>
      <c r="K75" s="10"/>
      <c r="L75" s="1"/>
      <c r="M75" s="1"/>
      <c r="N75" s="4"/>
    </row>
    <row r="76" spans="2:14">
      <c r="B76" s="23">
        <f t="shared" si="0"/>
        <v>65</v>
      </c>
      <c r="C76" s="85"/>
      <c r="D76" s="85"/>
      <c r="E76" s="85"/>
      <c r="F76" s="16" t="s">
        <v>215</v>
      </c>
      <c r="G76" s="16" t="s">
        <v>216</v>
      </c>
      <c r="H76" s="32" t="s">
        <v>298</v>
      </c>
      <c r="I76" s="34" t="s">
        <v>235</v>
      </c>
      <c r="J76" s="8"/>
      <c r="K76" s="10"/>
      <c r="L76" s="1"/>
      <c r="M76" s="1"/>
      <c r="N76" s="4"/>
    </row>
    <row r="77" spans="2:14">
      <c r="B77" s="23">
        <f t="shared" ref="B77:B111" si="1">ROW()-11</f>
        <v>66</v>
      </c>
      <c r="C77" s="85"/>
      <c r="D77" s="85"/>
      <c r="E77" s="85" t="s">
        <v>33</v>
      </c>
      <c r="F77" s="16" t="s">
        <v>217</v>
      </c>
      <c r="G77" s="16" t="s">
        <v>216</v>
      </c>
      <c r="H77" s="32" t="s">
        <v>299</v>
      </c>
      <c r="I77" s="34" t="s">
        <v>236</v>
      </c>
      <c r="J77" s="8"/>
      <c r="K77" s="10"/>
      <c r="L77" s="1"/>
      <c r="M77" s="1"/>
      <c r="N77" s="4"/>
    </row>
    <row r="78" spans="2:14">
      <c r="B78" s="23">
        <f t="shared" si="1"/>
        <v>67</v>
      </c>
      <c r="C78" s="85"/>
      <c r="D78" s="85"/>
      <c r="E78" s="85"/>
      <c r="F78" s="16" t="s">
        <v>218</v>
      </c>
      <c r="G78" s="16" t="s">
        <v>219</v>
      </c>
      <c r="H78" s="32" t="s">
        <v>300</v>
      </c>
      <c r="I78" s="35" t="s">
        <v>220</v>
      </c>
      <c r="J78" s="8"/>
      <c r="K78" s="10"/>
      <c r="L78" s="1"/>
      <c r="M78" s="1"/>
      <c r="N78" s="4"/>
    </row>
    <row r="79" spans="2:14">
      <c r="B79" s="23">
        <f t="shared" si="1"/>
        <v>68</v>
      </c>
      <c r="C79" s="85"/>
      <c r="D79" s="85"/>
      <c r="E79" s="85"/>
      <c r="F79" s="16" t="s">
        <v>221</v>
      </c>
      <c r="G79" s="16" t="s">
        <v>17</v>
      </c>
      <c r="H79" s="32" t="s">
        <v>289</v>
      </c>
      <c r="I79" s="32" t="s">
        <v>237</v>
      </c>
      <c r="J79" s="8"/>
      <c r="K79" s="10"/>
      <c r="L79" s="1"/>
      <c r="M79" s="1"/>
      <c r="N79" s="4"/>
    </row>
    <row r="80" spans="2:14">
      <c r="B80" s="23">
        <f t="shared" si="1"/>
        <v>69</v>
      </c>
      <c r="C80" s="85"/>
      <c r="D80" s="85"/>
      <c r="E80" s="86" t="s">
        <v>34</v>
      </c>
      <c r="F80" s="16" t="s">
        <v>35</v>
      </c>
      <c r="G80" s="16" t="s">
        <v>222</v>
      </c>
      <c r="H80" s="32" t="s">
        <v>301</v>
      </c>
      <c r="I80" s="34" t="s">
        <v>238</v>
      </c>
      <c r="J80" s="8"/>
      <c r="K80" s="10"/>
      <c r="L80" s="1"/>
      <c r="M80" s="1"/>
      <c r="N80" s="4"/>
    </row>
    <row r="81" spans="2:14">
      <c r="B81" s="23">
        <f t="shared" si="1"/>
        <v>70</v>
      </c>
      <c r="C81" s="85"/>
      <c r="D81" s="85"/>
      <c r="E81" s="87"/>
      <c r="F81" s="86" t="s">
        <v>223</v>
      </c>
      <c r="G81" s="16" t="s">
        <v>224</v>
      </c>
      <c r="H81" s="32" t="s">
        <v>225</v>
      </c>
      <c r="I81" s="35" t="s">
        <v>226</v>
      </c>
      <c r="J81" s="8"/>
      <c r="K81" s="10"/>
      <c r="L81" s="1"/>
      <c r="M81" s="1"/>
      <c r="N81" s="4"/>
    </row>
    <row r="82" spans="2:14" ht="60">
      <c r="B82" s="23">
        <f t="shared" si="1"/>
        <v>71</v>
      </c>
      <c r="C82" s="85"/>
      <c r="D82" s="85"/>
      <c r="E82" s="88"/>
      <c r="F82" s="88"/>
      <c r="G82" s="16" t="s">
        <v>224</v>
      </c>
      <c r="H82" s="32" t="s">
        <v>225</v>
      </c>
      <c r="I82" s="35" t="s">
        <v>239</v>
      </c>
      <c r="J82" s="8"/>
      <c r="K82" s="10"/>
      <c r="L82" s="1"/>
      <c r="M82" s="1"/>
      <c r="N82" s="4"/>
    </row>
    <row r="83" spans="2:14">
      <c r="B83" s="23">
        <f t="shared" si="1"/>
        <v>72</v>
      </c>
      <c r="C83" s="85"/>
      <c r="D83" s="85"/>
      <c r="E83" s="20" t="s">
        <v>240</v>
      </c>
      <c r="F83" s="16" t="s">
        <v>227</v>
      </c>
      <c r="G83" s="16" t="s">
        <v>216</v>
      </c>
      <c r="H83" s="32" t="s">
        <v>241</v>
      </c>
      <c r="I83" s="34" t="s">
        <v>242</v>
      </c>
      <c r="J83" s="8"/>
      <c r="K83" s="10"/>
      <c r="L83" s="1"/>
      <c r="M83" s="1"/>
      <c r="N83" s="4"/>
    </row>
    <row r="84" spans="2:14">
      <c r="B84" s="23">
        <f t="shared" si="1"/>
        <v>73</v>
      </c>
      <c r="C84" s="85"/>
      <c r="D84" s="85"/>
      <c r="E84" s="16" t="s">
        <v>6</v>
      </c>
      <c r="F84" s="16" t="s">
        <v>302</v>
      </c>
      <c r="G84" s="16" t="s">
        <v>216</v>
      </c>
      <c r="H84" s="32" t="s">
        <v>303</v>
      </c>
      <c r="I84" s="35" t="s">
        <v>304</v>
      </c>
      <c r="J84" s="8"/>
      <c r="K84" s="10"/>
      <c r="L84" s="1"/>
      <c r="M84" s="1"/>
      <c r="N84" s="4"/>
    </row>
    <row r="85" spans="2:14">
      <c r="B85" s="23">
        <f t="shared" si="1"/>
        <v>74</v>
      </c>
      <c r="C85" s="85" t="s">
        <v>36</v>
      </c>
      <c r="D85" s="85" t="s">
        <v>243</v>
      </c>
      <c r="E85" s="89" t="s">
        <v>9</v>
      </c>
      <c r="F85" s="21" t="s">
        <v>38</v>
      </c>
      <c r="G85" s="16" t="s">
        <v>244</v>
      </c>
      <c r="H85" s="32" t="s">
        <v>279</v>
      </c>
      <c r="I85" s="35" t="s">
        <v>245</v>
      </c>
      <c r="J85" s="8"/>
      <c r="K85" s="10"/>
      <c r="L85" s="1"/>
      <c r="M85" s="1"/>
      <c r="N85" s="4"/>
    </row>
    <row r="86" spans="2:14">
      <c r="B86" s="23">
        <f t="shared" si="1"/>
        <v>75</v>
      </c>
      <c r="C86" s="85"/>
      <c r="D86" s="85"/>
      <c r="E86" s="90"/>
      <c r="F86" s="92" t="s">
        <v>308</v>
      </c>
      <c r="G86" s="93" t="s">
        <v>309</v>
      </c>
      <c r="H86" s="32" t="s">
        <v>39</v>
      </c>
      <c r="I86" s="36" t="s">
        <v>310</v>
      </c>
      <c r="J86" s="8"/>
      <c r="K86" s="10"/>
      <c r="L86" s="1"/>
      <c r="M86" s="1"/>
      <c r="N86" s="4"/>
    </row>
    <row r="87" spans="2:14" ht="24">
      <c r="B87" s="23">
        <f t="shared" si="1"/>
        <v>76</v>
      </c>
      <c r="C87" s="85"/>
      <c r="D87" s="85"/>
      <c r="E87" s="91"/>
      <c r="F87" s="93"/>
      <c r="G87" s="93"/>
      <c r="H87" s="32" t="s">
        <v>246</v>
      </c>
      <c r="I87" s="32" t="s">
        <v>311</v>
      </c>
      <c r="J87" s="8"/>
      <c r="K87" s="10"/>
      <c r="L87" s="1"/>
      <c r="M87" s="1"/>
      <c r="N87" s="4"/>
    </row>
    <row r="88" spans="2:14" ht="24">
      <c r="B88" s="23">
        <f t="shared" si="1"/>
        <v>77</v>
      </c>
      <c r="C88" s="85"/>
      <c r="D88" s="85"/>
      <c r="E88" s="85" t="s">
        <v>37</v>
      </c>
      <c r="F88" s="16" t="s">
        <v>41</v>
      </c>
      <c r="G88" s="16" t="s">
        <v>40</v>
      </c>
      <c r="H88" s="32" t="s">
        <v>313</v>
      </c>
      <c r="I88" s="34" t="s">
        <v>312</v>
      </c>
      <c r="J88" s="8"/>
      <c r="K88" s="10"/>
      <c r="L88" s="1"/>
      <c r="M88" s="1"/>
      <c r="N88" s="4"/>
    </row>
    <row r="89" spans="2:14">
      <c r="B89" s="23">
        <f t="shared" si="1"/>
        <v>78</v>
      </c>
      <c r="C89" s="85"/>
      <c r="D89" s="85"/>
      <c r="E89" s="85"/>
      <c r="F89" s="89" t="s">
        <v>314</v>
      </c>
      <c r="G89" s="86" t="s">
        <v>40</v>
      </c>
      <c r="H89" s="32" t="s">
        <v>305</v>
      </c>
      <c r="I89" s="35" t="s">
        <v>247</v>
      </c>
      <c r="J89" s="8"/>
      <c r="K89" s="10"/>
      <c r="L89" s="1"/>
      <c r="M89" s="1"/>
      <c r="N89" s="4"/>
    </row>
    <row r="90" spans="2:14">
      <c r="B90" s="23">
        <f t="shared" si="1"/>
        <v>79</v>
      </c>
      <c r="C90" s="85"/>
      <c r="D90" s="85"/>
      <c r="E90" s="85"/>
      <c r="F90" s="91"/>
      <c r="G90" s="88"/>
      <c r="H90" s="32" t="s">
        <v>305</v>
      </c>
      <c r="I90" s="34" t="s">
        <v>315</v>
      </c>
      <c r="J90" s="8"/>
      <c r="K90" s="10"/>
      <c r="L90" s="1"/>
      <c r="M90" s="1"/>
      <c r="N90" s="4"/>
    </row>
    <row r="91" spans="2:14">
      <c r="B91" s="23">
        <f t="shared" si="1"/>
        <v>80</v>
      </c>
      <c r="C91" s="85"/>
      <c r="D91" s="85"/>
      <c r="E91" s="85"/>
      <c r="F91" s="16" t="s">
        <v>42</v>
      </c>
      <c r="G91" s="16" t="s">
        <v>40</v>
      </c>
      <c r="H91" s="32" t="s">
        <v>43</v>
      </c>
      <c r="I91" s="35" t="s">
        <v>248</v>
      </c>
      <c r="J91" s="8"/>
      <c r="K91" s="10"/>
      <c r="L91" s="1"/>
      <c r="M91" s="1"/>
      <c r="N91" s="4"/>
    </row>
    <row r="92" spans="2:14" ht="24">
      <c r="B92" s="23">
        <f t="shared" si="1"/>
        <v>81</v>
      </c>
      <c r="C92" s="85"/>
      <c r="D92" s="85"/>
      <c r="E92" s="21" t="s">
        <v>9</v>
      </c>
      <c r="F92" s="16" t="s">
        <v>249</v>
      </c>
      <c r="G92" s="21" t="s">
        <v>250</v>
      </c>
      <c r="H92" s="32" t="s">
        <v>251</v>
      </c>
      <c r="I92" s="32" t="s">
        <v>316</v>
      </c>
      <c r="J92" s="8"/>
      <c r="K92" s="10"/>
      <c r="L92" s="1"/>
      <c r="M92" s="1"/>
      <c r="N92" s="4"/>
    </row>
    <row r="93" spans="2:14" ht="24">
      <c r="B93" s="23">
        <f t="shared" si="1"/>
        <v>82</v>
      </c>
      <c r="C93" s="85"/>
      <c r="D93" s="85"/>
      <c r="E93" s="85" t="s">
        <v>44</v>
      </c>
      <c r="F93" s="16" t="s">
        <v>41</v>
      </c>
      <c r="G93" s="16" t="s">
        <v>46</v>
      </c>
      <c r="H93" s="32" t="s">
        <v>317</v>
      </c>
      <c r="I93" s="35" t="s">
        <v>252</v>
      </c>
      <c r="J93" s="8"/>
      <c r="K93" s="10"/>
      <c r="L93" s="1"/>
      <c r="M93" s="1"/>
      <c r="N93" s="4"/>
    </row>
    <row r="94" spans="2:14">
      <c r="B94" s="23">
        <f t="shared" si="1"/>
        <v>83</v>
      </c>
      <c r="C94" s="85"/>
      <c r="D94" s="85"/>
      <c r="E94" s="85"/>
      <c r="F94" s="16" t="s">
        <v>45</v>
      </c>
      <c r="G94" s="16" t="s">
        <v>46</v>
      </c>
      <c r="H94" s="32" t="s">
        <v>47</v>
      </c>
      <c r="I94" s="35" t="s">
        <v>253</v>
      </c>
      <c r="J94" s="8"/>
      <c r="K94" s="10"/>
      <c r="L94" s="1"/>
      <c r="M94" s="1"/>
      <c r="N94" s="4"/>
    </row>
    <row r="95" spans="2:14">
      <c r="B95" s="23">
        <f t="shared" si="1"/>
        <v>84</v>
      </c>
      <c r="C95" s="85"/>
      <c r="D95" s="85"/>
      <c r="E95" s="85"/>
      <c r="F95" s="16" t="s">
        <v>48</v>
      </c>
      <c r="G95" s="16" t="s">
        <v>46</v>
      </c>
      <c r="H95" s="32" t="s">
        <v>49</v>
      </c>
      <c r="I95" s="32" t="s">
        <v>254</v>
      </c>
      <c r="J95" s="8"/>
      <c r="K95" s="10"/>
      <c r="L95" s="1"/>
      <c r="M95" s="1"/>
      <c r="N95" s="4"/>
    </row>
    <row r="96" spans="2:14">
      <c r="B96" s="23">
        <f t="shared" si="1"/>
        <v>85</v>
      </c>
      <c r="C96" s="85"/>
      <c r="D96" s="85"/>
      <c r="E96" s="85"/>
      <c r="F96" s="16" t="s">
        <v>255</v>
      </c>
      <c r="G96" s="16" t="s">
        <v>46</v>
      </c>
      <c r="H96" s="32" t="s">
        <v>256</v>
      </c>
      <c r="I96" s="35" t="s">
        <v>257</v>
      </c>
      <c r="J96" s="8"/>
      <c r="K96" s="10"/>
      <c r="L96" s="1"/>
      <c r="M96" s="1"/>
      <c r="N96" s="4"/>
    </row>
    <row r="97" spans="2:14">
      <c r="B97" s="23">
        <f t="shared" si="1"/>
        <v>86</v>
      </c>
      <c r="C97" s="85"/>
      <c r="D97" s="85"/>
      <c r="E97" s="85" t="s">
        <v>258</v>
      </c>
      <c r="F97" s="16" t="s">
        <v>259</v>
      </c>
      <c r="G97" s="21" t="s">
        <v>260</v>
      </c>
      <c r="H97" s="32" t="s">
        <v>261</v>
      </c>
      <c r="I97" s="35" t="s">
        <v>262</v>
      </c>
      <c r="J97" s="8"/>
      <c r="K97" s="10"/>
      <c r="L97" s="1"/>
      <c r="M97" s="1"/>
      <c r="N97" s="4"/>
    </row>
    <row r="98" spans="2:14">
      <c r="B98" s="23">
        <f t="shared" si="1"/>
        <v>87</v>
      </c>
      <c r="C98" s="85"/>
      <c r="D98" s="85"/>
      <c r="E98" s="85"/>
      <c r="F98" s="16" t="s">
        <v>263</v>
      </c>
      <c r="G98" s="21" t="s">
        <v>260</v>
      </c>
      <c r="H98" s="32" t="s">
        <v>264</v>
      </c>
      <c r="I98" s="35" t="s">
        <v>265</v>
      </c>
      <c r="J98" s="8"/>
      <c r="K98" s="10"/>
      <c r="L98" s="1"/>
      <c r="M98" s="1"/>
      <c r="N98" s="4"/>
    </row>
    <row r="99" spans="2:14">
      <c r="B99" s="23">
        <f t="shared" si="1"/>
        <v>88</v>
      </c>
      <c r="C99" s="85"/>
      <c r="D99" s="85"/>
      <c r="E99" s="85" t="s">
        <v>266</v>
      </c>
      <c r="F99" s="16" t="s">
        <v>267</v>
      </c>
      <c r="G99" s="21" t="s">
        <v>268</v>
      </c>
      <c r="H99" s="32" t="s">
        <v>321</v>
      </c>
      <c r="I99" s="34" t="s">
        <v>318</v>
      </c>
      <c r="J99" s="8"/>
      <c r="K99" s="10"/>
      <c r="L99" s="1"/>
      <c r="M99" s="1"/>
      <c r="N99" s="4"/>
    </row>
    <row r="100" spans="2:14">
      <c r="B100" s="23">
        <f t="shared" si="1"/>
        <v>89</v>
      </c>
      <c r="C100" s="85"/>
      <c r="D100" s="85"/>
      <c r="E100" s="85"/>
      <c r="F100" s="16" t="s">
        <v>269</v>
      </c>
      <c r="G100" s="16" t="s">
        <v>51</v>
      </c>
      <c r="H100" s="32" t="s">
        <v>270</v>
      </c>
      <c r="I100" s="36" t="s">
        <v>319</v>
      </c>
      <c r="J100" s="8"/>
      <c r="K100" s="10"/>
      <c r="L100" s="1"/>
      <c r="M100" s="1"/>
      <c r="N100" s="4"/>
    </row>
    <row r="101" spans="2:14">
      <c r="B101" s="23">
        <f t="shared" si="1"/>
        <v>90</v>
      </c>
      <c r="C101" s="85"/>
      <c r="D101" s="85"/>
      <c r="E101" s="85"/>
      <c r="F101" s="16" t="s">
        <v>271</v>
      </c>
      <c r="G101" s="16" t="s">
        <v>272</v>
      </c>
      <c r="H101" s="32" t="s">
        <v>320</v>
      </c>
      <c r="I101" s="35" t="s">
        <v>273</v>
      </c>
      <c r="J101" s="8"/>
      <c r="K101" s="10"/>
      <c r="L101" s="1"/>
      <c r="M101" s="1"/>
      <c r="N101" s="4"/>
    </row>
    <row r="102" spans="2:14">
      <c r="B102" s="23">
        <f t="shared" si="1"/>
        <v>91</v>
      </c>
      <c r="C102" s="85"/>
      <c r="D102" s="85"/>
      <c r="E102" s="16" t="s">
        <v>274</v>
      </c>
      <c r="F102" s="16" t="s">
        <v>275</v>
      </c>
      <c r="G102" s="16" t="s">
        <v>276</v>
      </c>
      <c r="H102" s="32" t="s">
        <v>277</v>
      </c>
      <c r="I102" s="34" t="s">
        <v>322</v>
      </c>
      <c r="J102" s="8"/>
      <c r="K102" s="10"/>
      <c r="L102" s="1"/>
      <c r="M102" s="1"/>
      <c r="N102" s="4"/>
    </row>
    <row r="103" spans="2:14">
      <c r="B103" s="23">
        <f t="shared" si="1"/>
        <v>92</v>
      </c>
      <c r="C103" s="85"/>
      <c r="D103" s="85"/>
      <c r="E103" s="16" t="s">
        <v>6</v>
      </c>
      <c r="F103" s="16" t="s">
        <v>306</v>
      </c>
      <c r="G103" s="21" t="s">
        <v>50</v>
      </c>
      <c r="H103" s="32" t="s">
        <v>307</v>
      </c>
      <c r="I103" s="35" t="s">
        <v>278</v>
      </c>
      <c r="J103" s="8"/>
      <c r="K103" s="10"/>
      <c r="L103" s="1"/>
      <c r="M103" s="1"/>
      <c r="N103" s="4"/>
    </row>
    <row r="104" spans="2:14">
      <c r="B104" s="23">
        <f t="shared" si="1"/>
        <v>93</v>
      </c>
      <c r="C104" s="85" t="s">
        <v>52</v>
      </c>
      <c r="D104" s="85" t="s">
        <v>52</v>
      </c>
      <c r="E104" s="86" t="s">
        <v>53</v>
      </c>
      <c r="F104" s="16" t="s">
        <v>324</v>
      </c>
      <c r="G104" s="16" t="s">
        <v>8</v>
      </c>
      <c r="H104" s="32" t="s">
        <v>340</v>
      </c>
      <c r="I104" s="35" t="s">
        <v>325</v>
      </c>
      <c r="J104" s="8"/>
      <c r="K104" s="10"/>
      <c r="L104" s="1"/>
      <c r="M104" s="1"/>
      <c r="N104" s="4"/>
    </row>
    <row r="105" spans="2:14">
      <c r="B105" s="23">
        <f t="shared" si="1"/>
        <v>94</v>
      </c>
      <c r="C105" s="85"/>
      <c r="D105" s="85"/>
      <c r="E105" s="87"/>
      <c r="F105" s="86" t="s">
        <v>326</v>
      </c>
      <c r="G105" s="86" t="s">
        <v>8</v>
      </c>
      <c r="H105" s="32" t="s">
        <v>341</v>
      </c>
      <c r="I105" s="34" t="s">
        <v>337</v>
      </c>
      <c r="J105" s="8"/>
      <c r="K105" s="10"/>
      <c r="L105" s="1"/>
      <c r="M105" s="1"/>
      <c r="N105" s="4"/>
    </row>
    <row r="106" spans="2:14" ht="24">
      <c r="B106" s="23">
        <f t="shared" si="1"/>
        <v>95</v>
      </c>
      <c r="C106" s="85"/>
      <c r="D106" s="85"/>
      <c r="E106" s="87"/>
      <c r="F106" s="88"/>
      <c r="G106" s="88"/>
      <c r="H106" s="32" t="s">
        <v>342</v>
      </c>
      <c r="I106" s="35" t="s">
        <v>327</v>
      </c>
      <c r="J106" s="8"/>
      <c r="K106" s="10"/>
      <c r="L106" s="1"/>
      <c r="M106" s="1"/>
      <c r="N106" s="4"/>
    </row>
    <row r="107" spans="2:14">
      <c r="B107" s="23">
        <f t="shared" si="1"/>
        <v>96</v>
      </c>
      <c r="C107" s="85"/>
      <c r="D107" s="85"/>
      <c r="E107" s="88"/>
      <c r="F107" s="16" t="s">
        <v>54</v>
      </c>
      <c r="G107" s="16" t="s">
        <v>55</v>
      </c>
      <c r="H107" s="32" t="s">
        <v>56</v>
      </c>
      <c r="I107" s="34" t="s">
        <v>338</v>
      </c>
      <c r="J107" s="8"/>
      <c r="K107" s="10"/>
      <c r="L107" s="1"/>
      <c r="M107" s="1"/>
      <c r="N107" s="4"/>
    </row>
    <row r="108" spans="2:14">
      <c r="B108" s="23">
        <f t="shared" si="1"/>
        <v>97</v>
      </c>
      <c r="C108" s="85"/>
      <c r="D108" s="85"/>
      <c r="E108" s="16" t="s">
        <v>7</v>
      </c>
      <c r="F108" s="16" t="s">
        <v>328</v>
      </c>
      <c r="G108" s="15"/>
      <c r="H108" s="32" t="s">
        <v>329</v>
      </c>
      <c r="I108" s="35" t="s">
        <v>330</v>
      </c>
      <c r="J108" s="8"/>
      <c r="K108" s="10"/>
      <c r="L108" s="1"/>
      <c r="M108" s="1"/>
      <c r="N108" s="4"/>
    </row>
    <row r="109" spans="2:14">
      <c r="B109" s="23">
        <f t="shared" si="1"/>
        <v>98</v>
      </c>
      <c r="C109" s="85"/>
      <c r="D109" s="85"/>
      <c r="E109" s="85" t="s">
        <v>57</v>
      </c>
      <c r="F109" s="16" t="s">
        <v>57</v>
      </c>
      <c r="G109" s="16"/>
      <c r="H109" s="32" t="s">
        <v>331</v>
      </c>
      <c r="I109" s="35" t="s">
        <v>332</v>
      </c>
      <c r="J109" s="8"/>
      <c r="K109" s="10"/>
      <c r="L109" s="1"/>
      <c r="M109" s="1"/>
      <c r="N109" s="4"/>
    </row>
    <row r="110" spans="2:14">
      <c r="B110" s="23">
        <f t="shared" si="1"/>
        <v>99</v>
      </c>
      <c r="C110" s="85"/>
      <c r="D110" s="85"/>
      <c r="E110" s="85"/>
      <c r="F110" s="16" t="s">
        <v>333</v>
      </c>
      <c r="G110" s="16" t="s">
        <v>334</v>
      </c>
      <c r="H110" s="32" t="s">
        <v>335</v>
      </c>
      <c r="I110" s="35" t="s">
        <v>336</v>
      </c>
      <c r="J110" s="8"/>
      <c r="K110" s="10"/>
      <c r="L110" s="1"/>
      <c r="M110" s="1"/>
      <c r="N110" s="4"/>
    </row>
    <row r="111" spans="2:14">
      <c r="B111" s="23">
        <f t="shared" si="1"/>
        <v>100</v>
      </c>
      <c r="C111" s="85"/>
      <c r="D111" s="85"/>
      <c r="E111" s="16" t="s">
        <v>6</v>
      </c>
      <c r="F111" s="16" t="s">
        <v>343</v>
      </c>
      <c r="G111" s="16" t="s">
        <v>8</v>
      </c>
      <c r="H111" s="32" t="s">
        <v>344</v>
      </c>
      <c r="I111" s="34" t="s">
        <v>339</v>
      </c>
      <c r="J111" s="8"/>
      <c r="K111" s="10"/>
      <c r="L111" s="1"/>
      <c r="M111" s="1"/>
      <c r="N111" s="4"/>
    </row>
    <row r="112" spans="2:14">
      <c r="B112" s="12"/>
    </row>
    <row r="113" spans="2:14">
      <c r="B113" s="12"/>
    </row>
    <row r="114" spans="2:14">
      <c r="B114" s="12"/>
    </row>
    <row r="115" spans="2:14">
      <c r="B115" s="12"/>
    </row>
    <row r="116" spans="2:14">
      <c r="B116" s="12"/>
    </row>
    <row r="117" spans="2:14">
      <c r="B117" s="12"/>
    </row>
    <row r="118" spans="2:14">
      <c r="B118" s="12"/>
    </row>
    <row r="119" spans="2:14">
      <c r="B119" s="12"/>
    </row>
    <row r="120" spans="2:14">
      <c r="B120" s="12"/>
    </row>
    <row r="121" spans="2:14">
      <c r="B121" s="12"/>
    </row>
    <row r="122" spans="2:14">
      <c r="B122" s="12"/>
    </row>
    <row r="123" spans="2:14" s="17" customFormat="1">
      <c r="B123" s="12"/>
      <c r="H123" s="9"/>
      <c r="I123" s="9"/>
      <c r="J123" s="9"/>
      <c r="K123" s="9"/>
      <c r="L123" s="9"/>
      <c r="M123" s="9"/>
      <c r="N123" s="9"/>
    </row>
    <row r="124" spans="2:14" s="17" customFormat="1">
      <c r="B124" s="12"/>
      <c r="H124" s="9"/>
      <c r="I124" s="9"/>
      <c r="J124" s="9"/>
      <c r="K124" s="9"/>
      <c r="L124" s="9"/>
      <c r="M124" s="9"/>
      <c r="N124" s="9"/>
    </row>
    <row r="125" spans="2:14" s="17" customFormat="1">
      <c r="B125" s="12"/>
      <c r="H125" s="9"/>
      <c r="I125" s="9"/>
      <c r="J125" s="9"/>
      <c r="K125" s="9"/>
      <c r="L125" s="9"/>
      <c r="M125" s="9"/>
      <c r="N125" s="9"/>
    </row>
    <row r="126" spans="2:14" s="17" customFormat="1">
      <c r="B126" s="12"/>
      <c r="H126" s="9"/>
      <c r="I126" s="9"/>
      <c r="J126" s="9"/>
      <c r="K126" s="9"/>
      <c r="L126" s="9"/>
      <c r="M126" s="9"/>
      <c r="N126" s="9"/>
    </row>
    <row r="127" spans="2:14" s="17" customFormat="1">
      <c r="B127" s="12"/>
      <c r="H127" s="9"/>
      <c r="I127" s="9"/>
      <c r="J127" s="9"/>
      <c r="K127" s="9"/>
      <c r="L127" s="9"/>
      <c r="M127" s="9"/>
      <c r="N127" s="9"/>
    </row>
    <row r="128" spans="2:14" s="17" customFormat="1">
      <c r="B128" s="12"/>
      <c r="H128" s="9"/>
      <c r="I128" s="9"/>
      <c r="J128" s="9"/>
      <c r="K128" s="9"/>
      <c r="L128" s="9"/>
      <c r="M128" s="9"/>
      <c r="N128" s="9"/>
    </row>
    <row r="129" spans="2:14" s="17" customFormat="1">
      <c r="B129" s="12"/>
      <c r="H129" s="9"/>
      <c r="I129" s="9"/>
      <c r="J129" s="9"/>
      <c r="K129" s="9"/>
      <c r="L129" s="9"/>
      <c r="M129" s="9"/>
      <c r="N129" s="9"/>
    </row>
    <row r="130" spans="2:14" s="17" customFormat="1">
      <c r="B130" s="12"/>
      <c r="H130" s="9"/>
      <c r="I130" s="9"/>
      <c r="J130" s="9"/>
      <c r="K130" s="9"/>
      <c r="L130" s="9"/>
      <c r="M130" s="9"/>
      <c r="N130" s="9"/>
    </row>
    <row r="131" spans="2:14" s="17" customFormat="1">
      <c r="B131" s="12"/>
      <c r="H131" s="9"/>
      <c r="I131" s="9"/>
      <c r="J131" s="9"/>
      <c r="K131" s="9"/>
      <c r="L131" s="9"/>
      <c r="M131" s="9"/>
      <c r="N131" s="9"/>
    </row>
    <row r="132" spans="2:14" s="17" customFormat="1">
      <c r="B132" s="12"/>
      <c r="H132" s="9"/>
      <c r="I132" s="9"/>
      <c r="J132" s="9"/>
      <c r="K132" s="9"/>
      <c r="L132" s="9"/>
      <c r="M132" s="9"/>
      <c r="N132" s="9"/>
    </row>
    <row r="133" spans="2:14" s="17" customFormat="1">
      <c r="B133" s="12"/>
      <c r="H133" s="9"/>
      <c r="I133" s="9"/>
      <c r="J133" s="9"/>
      <c r="K133" s="9"/>
      <c r="L133" s="9"/>
      <c r="M133" s="9"/>
      <c r="N133" s="9"/>
    </row>
    <row r="134" spans="2:14" s="17" customFormat="1">
      <c r="B134" s="12"/>
      <c r="H134" s="9"/>
      <c r="I134" s="9"/>
      <c r="J134" s="9"/>
      <c r="K134" s="9"/>
      <c r="L134" s="9"/>
      <c r="M134" s="9"/>
      <c r="N134" s="9"/>
    </row>
    <row r="135" spans="2:14" s="17" customFormat="1">
      <c r="B135" s="12"/>
      <c r="H135" s="9"/>
      <c r="I135" s="9"/>
      <c r="J135" s="9"/>
      <c r="K135" s="9"/>
      <c r="L135" s="9"/>
      <c r="M135" s="9"/>
      <c r="N135" s="9"/>
    </row>
    <row r="136" spans="2:14" s="17" customFormat="1">
      <c r="B136" s="12"/>
      <c r="H136" s="9"/>
      <c r="I136" s="9"/>
      <c r="J136" s="9"/>
      <c r="K136" s="9"/>
      <c r="L136" s="9"/>
      <c r="M136" s="9"/>
      <c r="N136" s="9"/>
    </row>
    <row r="137" spans="2:14" s="17" customFormat="1">
      <c r="B137" s="12"/>
      <c r="H137" s="9"/>
      <c r="I137" s="9"/>
      <c r="J137" s="9"/>
      <c r="K137" s="9"/>
      <c r="L137" s="9"/>
      <c r="M137" s="9"/>
      <c r="N137" s="9"/>
    </row>
    <row r="138" spans="2:14" s="17" customFormat="1">
      <c r="B138" s="12"/>
      <c r="H138" s="9"/>
      <c r="I138" s="9"/>
      <c r="J138" s="9"/>
      <c r="K138" s="9"/>
      <c r="L138" s="9"/>
      <c r="M138" s="9"/>
      <c r="N138" s="9"/>
    </row>
    <row r="139" spans="2:14" s="17" customFormat="1">
      <c r="B139" s="12"/>
      <c r="H139" s="9"/>
      <c r="I139" s="9"/>
      <c r="J139" s="9"/>
      <c r="K139" s="9"/>
      <c r="L139" s="9"/>
      <c r="M139" s="9"/>
      <c r="N139" s="9"/>
    </row>
    <row r="140" spans="2:14" s="17" customFormat="1">
      <c r="B140" s="12"/>
      <c r="H140" s="9"/>
      <c r="I140" s="9"/>
      <c r="J140" s="9"/>
      <c r="K140" s="9"/>
      <c r="L140" s="9"/>
      <c r="M140" s="9"/>
      <c r="N140" s="9"/>
    </row>
    <row r="141" spans="2:14" s="17" customFormat="1">
      <c r="B141" s="12"/>
      <c r="H141" s="9"/>
      <c r="I141" s="9"/>
      <c r="J141" s="9"/>
      <c r="K141" s="9"/>
      <c r="L141" s="9"/>
      <c r="M141" s="9"/>
      <c r="N141" s="9"/>
    </row>
    <row r="142" spans="2:14" s="17" customFormat="1">
      <c r="B142" s="12"/>
      <c r="H142" s="9"/>
      <c r="I142" s="9"/>
      <c r="J142" s="9"/>
      <c r="K142" s="9"/>
      <c r="L142" s="9"/>
      <c r="M142" s="9"/>
      <c r="N142" s="9"/>
    </row>
    <row r="143" spans="2:14" s="17" customFormat="1">
      <c r="B143" s="12"/>
      <c r="H143" s="9"/>
      <c r="I143" s="9"/>
      <c r="J143" s="9"/>
      <c r="K143" s="9"/>
      <c r="L143" s="9"/>
      <c r="M143" s="9"/>
      <c r="N143" s="9"/>
    </row>
    <row r="144" spans="2:14" s="17" customFormat="1">
      <c r="B144" s="12"/>
      <c r="H144" s="9"/>
      <c r="I144" s="9"/>
      <c r="J144" s="9"/>
      <c r="K144" s="9"/>
      <c r="L144" s="9"/>
      <c r="M144" s="9"/>
      <c r="N144" s="9"/>
    </row>
    <row r="145" spans="2:14" s="17" customFormat="1">
      <c r="B145" s="12"/>
      <c r="H145" s="9"/>
      <c r="I145" s="9"/>
      <c r="J145" s="9"/>
      <c r="K145" s="9"/>
      <c r="L145" s="9"/>
      <c r="M145" s="9"/>
      <c r="N145" s="9"/>
    </row>
    <row r="146" spans="2:14" s="17" customFormat="1">
      <c r="B146" s="12"/>
      <c r="H146" s="9"/>
      <c r="I146" s="9"/>
      <c r="J146" s="9"/>
      <c r="K146" s="9"/>
      <c r="L146" s="9"/>
      <c r="M146" s="9"/>
      <c r="N146" s="9"/>
    </row>
    <row r="147" spans="2:14" s="17" customFormat="1">
      <c r="B147" s="12"/>
      <c r="H147" s="9"/>
      <c r="I147" s="9"/>
      <c r="J147" s="9"/>
      <c r="K147" s="9"/>
      <c r="L147" s="9"/>
      <c r="M147" s="9"/>
      <c r="N147" s="9"/>
    </row>
    <row r="148" spans="2:14" s="17" customFormat="1">
      <c r="B148" s="12"/>
      <c r="H148" s="9"/>
      <c r="I148" s="9"/>
      <c r="J148" s="9"/>
      <c r="K148" s="9"/>
      <c r="L148" s="9"/>
      <c r="M148" s="9"/>
      <c r="N148" s="9"/>
    </row>
    <row r="149" spans="2:14" s="17" customFormat="1">
      <c r="B149" s="12"/>
      <c r="H149" s="9"/>
      <c r="I149" s="9"/>
      <c r="J149" s="9"/>
      <c r="K149" s="9"/>
      <c r="L149" s="9"/>
      <c r="M149" s="9"/>
      <c r="N149" s="9"/>
    </row>
    <row r="150" spans="2:14" s="17" customFormat="1">
      <c r="B150" s="12"/>
      <c r="H150" s="9"/>
      <c r="I150" s="9"/>
      <c r="J150" s="9"/>
      <c r="K150" s="9"/>
      <c r="L150" s="9"/>
      <c r="M150" s="9"/>
      <c r="N150" s="9"/>
    </row>
    <row r="151" spans="2:14" s="17" customFormat="1">
      <c r="B151" s="12"/>
      <c r="H151" s="9"/>
      <c r="I151" s="9"/>
      <c r="J151" s="9"/>
      <c r="K151" s="9"/>
      <c r="L151" s="9"/>
      <c r="M151" s="9"/>
      <c r="N151" s="9"/>
    </row>
    <row r="152" spans="2:14" s="17" customFormat="1">
      <c r="B152" s="12"/>
      <c r="H152" s="9"/>
      <c r="I152" s="9"/>
      <c r="J152" s="9"/>
      <c r="K152" s="9"/>
      <c r="L152" s="9"/>
      <c r="M152" s="9"/>
      <c r="N152" s="9"/>
    </row>
    <row r="153" spans="2:14" s="17" customFormat="1">
      <c r="B153" s="12"/>
      <c r="H153" s="9"/>
      <c r="I153" s="9"/>
      <c r="J153" s="9"/>
      <c r="K153" s="9"/>
      <c r="L153" s="9"/>
      <c r="M153" s="9"/>
      <c r="N153" s="9"/>
    </row>
    <row r="154" spans="2:14" s="17" customFormat="1">
      <c r="B154" s="12"/>
      <c r="H154" s="9"/>
      <c r="I154" s="9"/>
      <c r="J154" s="9"/>
      <c r="K154" s="9"/>
      <c r="L154" s="9"/>
      <c r="M154" s="9"/>
      <c r="N154" s="9"/>
    </row>
    <row r="155" spans="2:14" s="17" customFormat="1">
      <c r="B155" s="12"/>
      <c r="H155" s="9"/>
      <c r="I155" s="9"/>
      <c r="J155" s="9"/>
      <c r="K155" s="9"/>
      <c r="L155" s="9"/>
      <c r="M155" s="9"/>
      <c r="N155" s="9"/>
    </row>
    <row r="156" spans="2:14" s="17" customFormat="1">
      <c r="B156" s="12"/>
      <c r="H156" s="9"/>
      <c r="I156" s="9"/>
      <c r="J156" s="9"/>
      <c r="K156" s="9"/>
      <c r="L156" s="9"/>
      <c r="M156" s="9"/>
      <c r="N156" s="9"/>
    </row>
    <row r="157" spans="2:14" s="17" customFormat="1">
      <c r="B157" s="12"/>
      <c r="H157" s="9"/>
      <c r="I157" s="9"/>
      <c r="J157" s="9"/>
      <c r="K157" s="9"/>
      <c r="L157" s="9"/>
      <c r="M157" s="9"/>
      <c r="N157" s="9"/>
    </row>
    <row r="158" spans="2:14" s="17" customFormat="1">
      <c r="B158" s="12"/>
      <c r="H158" s="9"/>
      <c r="I158" s="9"/>
      <c r="J158" s="9"/>
      <c r="K158" s="9"/>
      <c r="L158" s="9"/>
      <c r="M158" s="9"/>
      <c r="N158" s="9"/>
    </row>
    <row r="159" spans="2:14" s="17" customFormat="1">
      <c r="B159" s="12"/>
      <c r="H159" s="9"/>
      <c r="I159" s="9"/>
      <c r="J159" s="9"/>
      <c r="K159" s="9"/>
      <c r="L159" s="9"/>
      <c r="M159" s="9"/>
      <c r="N159" s="9"/>
    </row>
    <row r="160" spans="2:14" s="17" customFormat="1">
      <c r="B160" s="12"/>
      <c r="H160" s="9"/>
      <c r="I160" s="9"/>
      <c r="J160" s="9"/>
      <c r="K160" s="9"/>
      <c r="L160" s="9"/>
      <c r="M160" s="9"/>
      <c r="N160" s="9"/>
    </row>
    <row r="161" spans="2:14" s="17" customFormat="1">
      <c r="B161" s="12"/>
      <c r="H161" s="9"/>
      <c r="I161" s="9"/>
      <c r="J161" s="9"/>
      <c r="K161" s="9"/>
      <c r="L161" s="9"/>
      <c r="M161" s="9"/>
      <c r="N161" s="9"/>
    </row>
    <row r="162" spans="2:14" s="17" customFormat="1">
      <c r="B162" s="12"/>
      <c r="H162" s="9"/>
      <c r="I162" s="9"/>
      <c r="J162" s="9"/>
      <c r="K162" s="9"/>
      <c r="L162" s="9"/>
      <c r="M162" s="9"/>
      <c r="N162" s="9"/>
    </row>
    <row r="163" spans="2:14" s="17" customFormat="1">
      <c r="B163" s="12"/>
      <c r="H163" s="9"/>
      <c r="I163" s="9"/>
      <c r="J163" s="9"/>
      <c r="K163" s="9"/>
      <c r="L163" s="9"/>
      <c r="M163" s="9"/>
      <c r="N163" s="9"/>
    </row>
    <row r="164" spans="2:14" s="17" customFormat="1">
      <c r="B164" s="12"/>
      <c r="H164" s="9"/>
      <c r="I164" s="9"/>
      <c r="J164" s="9"/>
      <c r="K164" s="9"/>
      <c r="L164" s="9"/>
      <c r="M164" s="9"/>
      <c r="N164" s="9"/>
    </row>
    <row r="165" spans="2:14" s="17" customFormat="1">
      <c r="B165" s="12"/>
      <c r="H165" s="9"/>
      <c r="I165" s="9"/>
      <c r="J165" s="9"/>
      <c r="K165" s="9"/>
      <c r="L165" s="9"/>
      <c r="M165" s="9"/>
      <c r="N165" s="9"/>
    </row>
    <row r="166" spans="2:14" s="17" customFormat="1">
      <c r="B166" s="12"/>
      <c r="H166" s="9"/>
      <c r="I166" s="9"/>
      <c r="J166" s="9"/>
      <c r="K166" s="9"/>
      <c r="L166" s="9"/>
      <c r="M166" s="9"/>
      <c r="N166" s="9"/>
    </row>
    <row r="167" spans="2:14" s="17" customFormat="1">
      <c r="B167" s="12"/>
      <c r="H167" s="9"/>
      <c r="I167" s="9"/>
      <c r="J167" s="9"/>
      <c r="K167" s="9"/>
      <c r="L167" s="9"/>
      <c r="M167" s="9"/>
      <c r="N167" s="9"/>
    </row>
    <row r="168" spans="2:14" s="17" customFormat="1">
      <c r="B168" s="12"/>
      <c r="H168" s="9"/>
      <c r="I168" s="9"/>
      <c r="J168" s="9"/>
      <c r="K168" s="9"/>
      <c r="L168" s="9"/>
      <c r="M168" s="9"/>
      <c r="N168" s="9"/>
    </row>
    <row r="169" spans="2:14" s="17" customFormat="1">
      <c r="B169" s="12"/>
      <c r="H169" s="9"/>
      <c r="I169" s="9"/>
      <c r="J169" s="9"/>
      <c r="K169" s="9"/>
      <c r="L169" s="9"/>
      <c r="M169" s="9"/>
      <c r="N169" s="9"/>
    </row>
    <row r="170" spans="2:14" s="17" customFormat="1">
      <c r="B170" s="12"/>
      <c r="H170" s="9"/>
      <c r="I170" s="9"/>
      <c r="J170" s="9"/>
      <c r="K170" s="9"/>
      <c r="L170" s="9"/>
      <c r="M170" s="9"/>
      <c r="N170" s="9"/>
    </row>
    <row r="171" spans="2:14" s="17" customFormat="1">
      <c r="B171" s="12"/>
      <c r="H171" s="9"/>
      <c r="I171" s="9"/>
      <c r="J171" s="9"/>
      <c r="K171" s="9"/>
      <c r="L171" s="9"/>
      <c r="M171" s="9"/>
      <c r="N171" s="9"/>
    </row>
    <row r="172" spans="2:14" s="17" customFormat="1">
      <c r="B172" s="12"/>
      <c r="H172" s="9"/>
      <c r="I172" s="9"/>
      <c r="J172" s="9"/>
      <c r="K172" s="9"/>
      <c r="L172" s="9"/>
      <c r="M172" s="9"/>
      <c r="N172" s="9"/>
    </row>
    <row r="173" spans="2:14" s="17" customFormat="1">
      <c r="B173" s="12"/>
      <c r="H173" s="9"/>
      <c r="I173" s="9"/>
      <c r="J173" s="9"/>
      <c r="K173" s="9"/>
      <c r="L173" s="9"/>
      <c r="M173" s="9"/>
      <c r="N173" s="9"/>
    </row>
    <row r="174" spans="2:14" s="17" customFormat="1">
      <c r="B174" s="12"/>
      <c r="H174" s="9"/>
      <c r="I174" s="9"/>
      <c r="J174" s="9"/>
      <c r="K174" s="9"/>
      <c r="L174" s="9"/>
      <c r="M174" s="9"/>
      <c r="N174" s="9"/>
    </row>
    <row r="175" spans="2:14" s="17" customFormat="1">
      <c r="B175" s="12"/>
      <c r="H175" s="9"/>
      <c r="I175" s="9"/>
      <c r="J175" s="9"/>
      <c r="K175" s="9"/>
      <c r="L175" s="9"/>
      <c r="M175" s="9"/>
      <c r="N175" s="9"/>
    </row>
    <row r="176" spans="2:14" s="17" customFormat="1">
      <c r="B176" s="12"/>
      <c r="H176" s="9"/>
      <c r="I176" s="9"/>
      <c r="J176" s="9"/>
      <c r="K176" s="9"/>
      <c r="L176" s="9"/>
      <c r="M176" s="9"/>
      <c r="N176" s="9"/>
    </row>
    <row r="177" spans="2:14" s="17" customFormat="1">
      <c r="B177" s="12"/>
      <c r="H177" s="9"/>
      <c r="I177" s="9"/>
      <c r="J177" s="9"/>
      <c r="K177" s="9"/>
      <c r="L177" s="9"/>
      <c r="M177" s="9"/>
      <c r="N177" s="9"/>
    </row>
    <row r="178" spans="2:14" s="17" customFormat="1">
      <c r="B178" s="12"/>
      <c r="H178" s="9"/>
      <c r="I178" s="9"/>
      <c r="J178" s="9"/>
      <c r="K178" s="9"/>
      <c r="L178" s="9"/>
      <c r="M178" s="9"/>
      <c r="N178" s="9"/>
    </row>
    <row r="179" spans="2:14" s="17" customFormat="1">
      <c r="B179" s="12"/>
      <c r="H179" s="9"/>
      <c r="I179" s="9"/>
      <c r="J179" s="9"/>
      <c r="K179" s="9"/>
      <c r="L179" s="9"/>
      <c r="M179" s="9"/>
      <c r="N179" s="9"/>
    </row>
    <row r="180" spans="2:14" s="17" customFormat="1">
      <c r="B180" s="12"/>
      <c r="H180" s="9"/>
      <c r="I180" s="9"/>
      <c r="J180" s="9"/>
      <c r="K180" s="9"/>
      <c r="L180" s="9"/>
      <c r="M180" s="9"/>
      <c r="N180" s="9"/>
    </row>
    <row r="181" spans="2:14" s="17" customFormat="1">
      <c r="B181" s="12"/>
      <c r="H181" s="9"/>
      <c r="I181" s="9"/>
      <c r="J181" s="9"/>
      <c r="K181" s="9"/>
      <c r="L181" s="9"/>
      <c r="M181" s="9"/>
      <c r="N181" s="9"/>
    </row>
    <row r="182" spans="2:14" s="17" customFormat="1">
      <c r="B182" s="12"/>
      <c r="H182" s="9"/>
      <c r="I182" s="9"/>
      <c r="J182" s="9"/>
      <c r="K182" s="9"/>
      <c r="L182" s="9"/>
      <c r="M182" s="9"/>
      <c r="N182" s="9"/>
    </row>
    <row r="183" spans="2:14" s="17" customFormat="1">
      <c r="B183" s="12"/>
      <c r="H183" s="9"/>
      <c r="I183" s="9"/>
      <c r="J183" s="9"/>
      <c r="K183" s="9"/>
      <c r="L183" s="9"/>
      <c r="M183" s="9"/>
      <c r="N183" s="9"/>
    </row>
    <row r="184" spans="2:14" s="17" customFormat="1">
      <c r="B184" s="12"/>
      <c r="H184" s="9"/>
      <c r="I184" s="9"/>
      <c r="J184" s="9"/>
      <c r="K184" s="9"/>
      <c r="L184" s="9"/>
      <c r="M184" s="9"/>
      <c r="N184" s="9"/>
    </row>
    <row r="185" spans="2:14" s="17" customFormat="1">
      <c r="B185" s="12"/>
      <c r="H185" s="9"/>
      <c r="I185" s="9"/>
      <c r="J185" s="9"/>
      <c r="K185" s="9"/>
      <c r="L185" s="9"/>
      <c r="M185" s="9"/>
      <c r="N185" s="9"/>
    </row>
    <row r="186" spans="2:14" s="17" customFormat="1">
      <c r="B186" s="12"/>
      <c r="H186" s="9"/>
      <c r="I186" s="9"/>
      <c r="J186" s="9"/>
      <c r="K186" s="9"/>
      <c r="L186" s="9"/>
      <c r="M186" s="9"/>
      <c r="N186" s="9"/>
    </row>
    <row r="187" spans="2:14" s="17" customFormat="1">
      <c r="B187" s="12"/>
      <c r="H187" s="9"/>
      <c r="I187" s="9"/>
      <c r="J187" s="9"/>
      <c r="K187" s="9"/>
      <c r="L187" s="9"/>
      <c r="M187" s="9"/>
      <c r="N187" s="9"/>
    </row>
    <row r="188" spans="2:14" s="17" customFormat="1">
      <c r="B188" s="12"/>
      <c r="H188" s="9"/>
      <c r="I188" s="9"/>
      <c r="J188" s="9"/>
      <c r="K188" s="9"/>
      <c r="L188" s="9"/>
      <c r="M188" s="9"/>
      <c r="N188" s="9"/>
    </row>
    <row r="189" spans="2:14" s="17" customFormat="1">
      <c r="B189" s="12"/>
      <c r="H189" s="9"/>
      <c r="I189" s="9"/>
      <c r="J189" s="9"/>
      <c r="K189" s="9"/>
      <c r="L189" s="9"/>
      <c r="M189" s="9"/>
      <c r="N189" s="9"/>
    </row>
    <row r="190" spans="2:14" s="17" customFormat="1">
      <c r="B190" s="12"/>
      <c r="H190" s="9"/>
      <c r="I190" s="9"/>
      <c r="J190" s="9"/>
      <c r="K190" s="9"/>
      <c r="L190" s="9"/>
      <c r="M190" s="9"/>
      <c r="N190" s="9"/>
    </row>
    <row r="191" spans="2:14" s="17" customFormat="1">
      <c r="B191" s="12"/>
      <c r="H191" s="9"/>
      <c r="I191" s="9"/>
      <c r="J191" s="9"/>
      <c r="K191" s="9"/>
      <c r="L191" s="9"/>
      <c r="M191" s="9"/>
      <c r="N191" s="9"/>
    </row>
    <row r="192" spans="2:14" s="17" customFormat="1">
      <c r="B192" s="12"/>
      <c r="H192" s="9"/>
      <c r="I192" s="9"/>
      <c r="J192" s="9"/>
      <c r="K192" s="9"/>
      <c r="L192" s="9"/>
      <c r="M192" s="9"/>
      <c r="N192" s="9"/>
    </row>
    <row r="193" spans="2:14" s="17" customFormat="1">
      <c r="B193" s="12"/>
      <c r="H193" s="9"/>
      <c r="I193" s="9"/>
      <c r="J193" s="9"/>
      <c r="K193" s="9"/>
      <c r="L193" s="9"/>
      <c r="M193" s="9"/>
      <c r="N193" s="9"/>
    </row>
    <row r="194" spans="2:14" s="17" customFormat="1">
      <c r="B194" s="12"/>
      <c r="H194" s="9"/>
      <c r="I194" s="9"/>
      <c r="J194" s="9"/>
      <c r="K194" s="9"/>
      <c r="L194" s="9"/>
      <c r="M194" s="9"/>
      <c r="N194" s="9"/>
    </row>
    <row r="195" spans="2:14" s="17" customFormat="1">
      <c r="B195" s="12"/>
      <c r="H195" s="9"/>
      <c r="I195" s="9"/>
      <c r="J195" s="9"/>
      <c r="K195" s="9"/>
      <c r="L195" s="9"/>
      <c r="M195" s="9"/>
      <c r="N195" s="9"/>
    </row>
    <row r="196" spans="2:14" s="17" customFormat="1">
      <c r="B196" s="12"/>
      <c r="H196" s="9"/>
      <c r="I196" s="9"/>
      <c r="J196" s="9"/>
      <c r="K196" s="9"/>
      <c r="L196" s="9"/>
      <c r="M196" s="9"/>
      <c r="N196" s="9"/>
    </row>
    <row r="197" spans="2:14" s="17" customFormat="1">
      <c r="B197" s="12"/>
      <c r="H197" s="9"/>
      <c r="I197" s="9"/>
      <c r="J197" s="9"/>
      <c r="K197" s="9"/>
      <c r="L197" s="9"/>
      <c r="M197" s="9"/>
      <c r="N197" s="9"/>
    </row>
    <row r="198" spans="2:14" s="17" customFormat="1">
      <c r="B198" s="12"/>
      <c r="H198" s="9"/>
      <c r="I198" s="9"/>
      <c r="J198" s="9"/>
      <c r="K198" s="9"/>
      <c r="L198" s="9"/>
      <c r="M198" s="9"/>
      <c r="N198" s="9"/>
    </row>
    <row r="199" spans="2:14" s="17" customFormat="1">
      <c r="B199" s="12"/>
      <c r="H199" s="9"/>
      <c r="I199" s="9"/>
      <c r="J199" s="9"/>
      <c r="K199" s="9"/>
      <c r="L199" s="9"/>
      <c r="M199" s="9"/>
      <c r="N199" s="9"/>
    </row>
    <row r="200" spans="2:14" s="17" customFormat="1">
      <c r="B200" s="12"/>
      <c r="H200" s="9"/>
      <c r="I200" s="9"/>
      <c r="J200" s="9"/>
      <c r="K200" s="9"/>
      <c r="L200" s="9"/>
      <c r="M200" s="9"/>
      <c r="N200" s="9"/>
    </row>
    <row r="201" spans="2:14" s="17" customFormat="1">
      <c r="B201" s="12"/>
      <c r="H201" s="9"/>
      <c r="I201" s="9"/>
      <c r="J201" s="9"/>
      <c r="K201" s="9"/>
      <c r="L201" s="9"/>
      <c r="M201" s="9"/>
      <c r="N201" s="9"/>
    </row>
    <row r="202" spans="2:14" s="17" customFormat="1">
      <c r="B202" s="12"/>
      <c r="H202" s="9"/>
      <c r="I202" s="9"/>
      <c r="J202" s="9"/>
      <c r="K202" s="9"/>
      <c r="L202" s="9"/>
      <c r="M202" s="9"/>
      <c r="N202" s="9"/>
    </row>
    <row r="203" spans="2:14" s="17" customFormat="1">
      <c r="B203" s="12"/>
      <c r="H203" s="9"/>
      <c r="I203" s="9"/>
      <c r="J203" s="9"/>
      <c r="K203" s="9"/>
      <c r="L203" s="9"/>
      <c r="M203" s="9"/>
      <c r="N203" s="9"/>
    </row>
    <row r="204" spans="2:14" s="17" customFormat="1">
      <c r="B204" s="12"/>
      <c r="H204" s="9"/>
      <c r="I204" s="9"/>
      <c r="J204" s="9"/>
      <c r="K204" s="9"/>
      <c r="L204" s="9"/>
      <c r="M204" s="9"/>
      <c r="N204" s="9"/>
    </row>
    <row r="205" spans="2:14" s="17" customFormat="1">
      <c r="B205" s="12"/>
      <c r="H205" s="9"/>
      <c r="I205" s="9"/>
      <c r="J205" s="9"/>
      <c r="K205" s="9"/>
      <c r="L205" s="9"/>
      <c r="M205" s="9"/>
      <c r="N205" s="9"/>
    </row>
    <row r="206" spans="2:14" s="17" customFormat="1">
      <c r="B206" s="12"/>
      <c r="H206" s="9"/>
      <c r="I206" s="9"/>
      <c r="J206" s="9"/>
      <c r="K206" s="9"/>
      <c r="L206" s="9"/>
      <c r="M206" s="9"/>
      <c r="N206" s="9"/>
    </row>
    <row r="207" spans="2:14" s="17" customFormat="1">
      <c r="B207" s="12"/>
      <c r="H207" s="9"/>
      <c r="I207" s="9"/>
      <c r="J207" s="9"/>
      <c r="K207" s="9"/>
      <c r="L207" s="9"/>
      <c r="M207" s="9"/>
      <c r="N207" s="9"/>
    </row>
    <row r="208" spans="2:14" s="17" customFormat="1">
      <c r="B208" s="12"/>
      <c r="H208" s="9"/>
      <c r="I208" s="9"/>
      <c r="J208" s="9"/>
      <c r="K208" s="9"/>
      <c r="L208" s="9"/>
      <c r="M208" s="9"/>
      <c r="N208" s="9"/>
    </row>
    <row r="209" spans="2:14" s="17" customFormat="1">
      <c r="B209" s="12"/>
      <c r="H209" s="9"/>
      <c r="I209" s="9"/>
      <c r="J209" s="9"/>
      <c r="K209" s="9"/>
      <c r="L209" s="9"/>
      <c r="M209" s="9"/>
      <c r="N209" s="9"/>
    </row>
    <row r="210" spans="2:14" s="17" customFormat="1">
      <c r="B210" s="12"/>
      <c r="H210" s="9"/>
      <c r="I210" s="9"/>
      <c r="J210" s="9"/>
      <c r="K210" s="9"/>
      <c r="L210" s="9"/>
      <c r="M210" s="9"/>
      <c r="N210" s="9"/>
    </row>
    <row r="211" spans="2:14" s="17" customFormat="1">
      <c r="B211" s="12"/>
      <c r="H211" s="9"/>
      <c r="I211" s="9"/>
      <c r="J211" s="9"/>
      <c r="K211" s="9"/>
      <c r="L211" s="9"/>
      <c r="M211" s="9"/>
      <c r="N211" s="9"/>
    </row>
    <row r="212" spans="2:14" s="17" customFormat="1">
      <c r="B212" s="12"/>
      <c r="H212" s="9"/>
      <c r="I212" s="9"/>
      <c r="J212" s="9"/>
      <c r="K212" s="9"/>
      <c r="L212" s="9"/>
      <c r="M212" s="9"/>
      <c r="N212" s="9"/>
    </row>
    <row r="213" spans="2:14" s="17" customFormat="1">
      <c r="B213" s="12"/>
      <c r="H213" s="9"/>
      <c r="I213" s="9"/>
      <c r="J213" s="9"/>
      <c r="K213" s="9"/>
      <c r="L213" s="9"/>
      <c r="M213" s="9"/>
      <c r="N213" s="9"/>
    </row>
    <row r="214" spans="2:14" s="17" customFormat="1">
      <c r="B214" s="12"/>
      <c r="H214" s="9"/>
      <c r="I214" s="9"/>
      <c r="J214" s="9"/>
      <c r="K214" s="9"/>
      <c r="L214" s="9"/>
      <c r="M214" s="9"/>
      <c r="N214" s="9"/>
    </row>
    <row r="215" spans="2:14" s="17" customFormat="1">
      <c r="B215" s="12"/>
      <c r="H215" s="9"/>
      <c r="I215" s="9"/>
      <c r="J215" s="9"/>
      <c r="K215" s="9"/>
      <c r="L215" s="9"/>
      <c r="M215" s="9"/>
      <c r="N215" s="9"/>
    </row>
    <row r="216" spans="2:14" s="17" customFormat="1">
      <c r="B216" s="12"/>
      <c r="H216" s="9"/>
      <c r="I216" s="9"/>
      <c r="J216" s="9"/>
      <c r="K216" s="9"/>
      <c r="L216" s="9"/>
      <c r="M216" s="9"/>
      <c r="N216" s="9"/>
    </row>
    <row r="217" spans="2:14" s="17" customFormat="1">
      <c r="B217" s="12"/>
      <c r="H217" s="9"/>
      <c r="I217" s="9"/>
      <c r="J217" s="9"/>
      <c r="K217" s="9"/>
      <c r="L217" s="9"/>
      <c r="M217" s="9"/>
      <c r="N217" s="9"/>
    </row>
    <row r="218" spans="2:14" s="17" customFormat="1">
      <c r="B218" s="12"/>
      <c r="H218" s="9"/>
      <c r="I218" s="9"/>
      <c r="J218" s="9"/>
      <c r="K218" s="9"/>
      <c r="L218" s="9"/>
      <c r="M218" s="9"/>
      <c r="N218" s="9"/>
    </row>
    <row r="219" spans="2:14" s="17" customFormat="1">
      <c r="B219" s="12"/>
      <c r="H219" s="9"/>
      <c r="I219" s="9"/>
      <c r="J219" s="9"/>
      <c r="K219" s="9"/>
      <c r="L219" s="9"/>
      <c r="M219" s="9"/>
      <c r="N219" s="9"/>
    </row>
    <row r="220" spans="2:14" s="17" customFormat="1">
      <c r="B220" s="12" t="str">
        <f>IF(COUNTA(C220:N220)=0,"",COUNTIF($B$12:B220,"&gt;0"))</f>
        <v/>
      </c>
      <c r="H220" s="9"/>
      <c r="I220" s="9"/>
      <c r="J220" s="9"/>
      <c r="K220" s="9"/>
      <c r="L220" s="9"/>
      <c r="M220" s="9"/>
      <c r="N220" s="9"/>
    </row>
  </sheetData>
  <mergeCells count="76">
    <mergeCell ref="B6:D6"/>
    <mergeCell ref="L6:N6"/>
    <mergeCell ref="C85:C103"/>
    <mergeCell ref="D85:D103"/>
    <mergeCell ref="E85:E87"/>
    <mergeCell ref="F42:F43"/>
    <mergeCell ref="F44:F45"/>
    <mergeCell ref="D12:D17"/>
    <mergeCell ref="K2:N2"/>
    <mergeCell ref="K3:N3"/>
    <mergeCell ref="K4:N4"/>
    <mergeCell ref="B5:D5"/>
    <mergeCell ref="L5:N5"/>
    <mergeCell ref="B7:D7"/>
    <mergeCell ref="L7:N7"/>
    <mergeCell ref="B8:D8"/>
    <mergeCell ref="L8:N8"/>
    <mergeCell ref="B9:D9"/>
    <mergeCell ref="L9:N9"/>
    <mergeCell ref="C13:C34"/>
    <mergeCell ref="F13:F15"/>
    <mergeCell ref="G13:G15"/>
    <mergeCell ref="D18:D34"/>
    <mergeCell ref="E18:E24"/>
    <mergeCell ref="F18:F19"/>
    <mergeCell ref="G18:G19"/>
    <mergeCell ref="F20:F22"/>
    <mergeCell ref="G20:G22"/>
    <mergeCell ref="F23:F24"/>
    <mergeCell ref="G23:G24"/>
    <mergeCell ref="E25:E26"/>
    <mergeCell ref="E27:E31"/>
    <mergeCell ref="F27:F31"/>
    <mergeCell ref="G27:G31"/>
    <mergeCell ref="G42:G43"/>
    <mergeCell ref="G44:G45"/>
    <mergeCell ref="C48:C65"/>
    <mergeCell ref="D48:D65"/>
    <mergeCell ref="E48:E55"/>
    <mergeCell ref="F50:F51"/>
    <mergeCell ref="G50:G51"/>
    <mergeCell ref="F52:F53"/>
    <mergeCell ref="G52:G53"/>
    <mergeCell ref="E57:E60"/>
    <mergeCell ref="C35:C47"/>
    <mergeCell ref="D35:D47"/>
    <mergeCell ref="E35:E39"/>
    <mergeCell ref="F38:F39"/>
    <mergeCell ref="G38:G39"/>
    <mergeCell ref="C66:C84"/>
    <mergeCell ref="D66:D84"/>
    <mergeCell ref="E66:E71"/>
    <mergeCell ref="F69:F70"/>
    <mergeCell ref="G69:G70"/>
    <mergeCell ref="E72:E73"/>
    <mergeCell ref="E74:E76"/>
    <mergeCell ref="E77:E79"/>
    <mergeCell ref="E80:E82"/>
    <mergeCell ref="G105:G106"/>
    <mergeCell ref="E109:E110"/>
    <mergeCell ref="F86:F87"/>
    <mergeCell ref="G86:G87"/>
    <mergeCell ref="E88:E91"/>
    <mergeCell ref="F89:F90"/>
    <mergeCell ref="G89:G90"/>
    <mergeCell ref="E93:E96"/>
    <mergeCell ref="E99:E101"/>
    <mergeCell ref="C104:C111"/>
    <mergeCell ref="D104:D111"/>
    <mergeCell ref="E104:E107"/>
    <mergeCell ref="F105:F106"/>
    <mergeCell ref="E12:E17"/>
    <mergeCell ref="E41:E46"/>
    <mergeCell ref="E61:E62"/>
    <mergeCell ref="F81:F82"/>
    <mergeCell ref="E97:E98"/>
  </mergeCells>
  <phoneticPr fontId="10" type="noConversion"/>
  <conditionalFormatting sqref="J12:J111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"N/A"</formula>
    </cfRule>
  </conditionalFormatting>
  <dataValidations count="3">
    <dataValidation type="list" allowBlank="1" showInputMessage="1" showErrorMessage="1" errorTitle="잘못된 테스트 결과" error="목록에서 Pass, Fail, N/A 중 하나를 선택하세요." promptTitle="테스트 결과" prompt="Pass, Fail, N/A 중 선택하세요." sqref="J12:J111" xr:uid="{8F415DF0-450C-46AA-936C-32721DEE5897}">
      <formula1>"Pass,Fail,N/A"</formula1>
    </dataValidation>
    <dataValidation type="list" allowBlank="1" showInputMessage="1" showErrorMessage="1" errorTitle="잘못된 담당자" error="목록에서 강유나 또는 홍길동을 선택하세요." promptTitle="담당자" prompt="강유나 또는 홍길동 중 선택하세요." sqref="M12:M111" xr:uid="{77F80BEA-7E88-44E0-AD8B-59C637AA7D22}">
      <formula1>"강유나,홍길동"</formula1>
    </dataValidation>
    <dataValidation type="date" allowBlank="1" showInputMessage="1" showErrorMessage="1" errorTitle="잘못된 날짜" error="유효한 날짜를 입력하세요. 예: 2025-06-25" promptTitle="확인 날짜" prompt="날짜를 선택하거나 yyyy-mm-dd 형식으로 입력하세요." sqref="N12:N111" xr:uid="{0EFF0870-DFA5-48B3-929D-27FFB31B844E}">
      <formula1>DATE(2020,1,1)</formula1>
      <formula2>DATE(2099,12,31)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7"/>
  <sheetViews>
    <sheetView showGridLines="0" zoomScaleNormal="100" workbookViewId="0"/>
  </sheetViews>
  <sheetFormatPr defaultColWidth="8.7109375" defaultRowHeight="15"/>
  <cols>
    <col min="1" max="1" width="2" customWidth="1"/>
    <col min="2" max="2" width="8" customWidth="1"/>
    <col min="3" max="3" width="40" customWidth="1"/>
    <col min="4" max="4" width="10" customWidth="1"/>
    <col min="5" max="5" width="12" customWidth="1"/>
  </cols>
  <sheetData>
    <row r="2" spans="2:5" ht="16.5">
      <c r="B2" s="3" t="s">
        <v>59</v>
      </c>
    </row>
    <row r="4" spans="2:5">
      <c r="B4" s="51" t="s">
        <v>60</v>
      </c>
      <c r="C4" s="51" t="s">
        <v>61</v>
      </c>
      <c r="D4" s="51" t="s">
        <v>62</v>
      </c>
      <c r="E4" s="51" t="s">
        <v>63</v>
      </c>
    </row>
    <row r="5" spans="2:5">
      <c r="B5" s="21" t="s">
        <v>64</v>
      </c>
      <c r="C5" s="52" t="s">
        <v>361</v>
      </c>
      <c r="D5" s="21" t="s">
        <v>362</v>
      </c>
      <c r="E5" s="53">
        <v>46167</v>
      </c>
    </row>
    <row r="6" spans="2:5">
      <c r="B6" s="48"/>
      <c r="C6" s="49"/>
      <c r="D6" s="50"/>
      <c r="E6" s="48"/>
    </row>
    <row r="7" spans="2:5">
      <c r="B7" s="48"/>
      <c r="C7" s="49"/>
      <c r="D7" s="50"/>
      <c r="E7" s="48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App_AOS_TestCase</vt:lpstr>
      <vt:lpstr>App_iOS_TestCase</vt:lpstr>
      <vt:lpstr>히스토리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유나 강</cp:lastModifiedBy>
  <cp:revision>0</cp:revision>
  <dcterms:created xsi:type="dcterms:W3CDTF">2026-06-28T02:45:56Z</dcterms:created>
  <dcterms:modified xsi:type="dcterms:W3CDTF">2026-06-28T12:48:07Z</dcterms:modified>
  <dc:language>en-US</dc:language>
</cp:coreProperties>
</file>